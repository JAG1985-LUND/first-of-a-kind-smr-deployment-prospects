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219" documentId="8_{2EF5F8A6-6076-489C-ACB0-64A4626D7981}" xr6:coauthVersionLast="47" xr6:coauthVersionMax="47" xr10:uidLastSave="{EECFFD54-5359-450F-92C2-6664D173DB05}"/>
  <bookViews>
    <workbookView minimized="1" xWindow="9768" yWindow="3708" windowWidth="12876" windowHeight="10020" activeTab="1" xr2:uid="{C24E1267-910E-418E-A6C5-840D5A8C2538}"/>
  </bookViews>
  <sheets>
    <sheet name="licensing_readiness" sheetId="1" r:id="rId1"/>
    <sheet name="construction_readiness" sheetId="2" r:id="rId2"/>
    <sheet name="licensing_readiness_NEA" sheetId="4" r:id="rId3"/>
    <sheet name="construction_readiness_NE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5" l="1"/>
  <c r="G53" i="5"/>
  <c r="G27" i="5"/>
  <c r="G3" i="5"/>
  <c r="G15" i="5"/>
  <c r="G16" i="5"/>
  <c r="G23" i="5"/>
  <c r="G25" i="5"/>
  <c r="G32" i="5"/>
  <c r="G33" i="5"/>
  <c r="G35" i="5"/>
  <c r="G36" i="5"/>
  <c r="G28" i="5"/>
  <c r="G29" i="5"/>
  <c r="G30" i="5"/>
  <c r="G31" i="5"/>
  <c r="G34" i="5"/>
  <c r="G20" i="5"/>
  <c r="G24" i="5"/>
  <c r="G22" i="5"/>
  <c r="G13" i="5"/>
  <c r="G14" i="5"/>
  <c r="G12" i="5"/>
  <c r="G5" i="5"/>
  <c r="G8" i="5"/>
  <c r="G18" i="5"/>
  <c r="G26" i="5"/>
  <c r="G37" i="5"/>
  <c r="G39" i="5"/>
  <c r="G40" i="5"/>
  <c r="G41" i="5"/>
  <c r="G46" i="5"/>
  <c r="G6" i="5"/>
  <c r="G42" i="5"/>
  <c r="G43" i="5"/>
  <c r="G45" i="5"/>
  <c r="G47" i="5"/>
  <c r="G51" i="5"/>
  <c r="G44" i="5"/>
  <c r="G48" i="5"/>
  <c r="G49" i="5"/>
  <c r="G50" i="5"/>
  <c r="G2" i="5"/>
  <c r="G7" i="5"/>
  <c r="G9" i="5"/>
  <c r="G10" i="5"/>
  <c r="G4" i="5"/>
  <c r="G17" i="5"/>
  <c r="G38" i="5"/>
  <c r="G21" i="5"/>
  <c r="G11" i="5"/>
  <c r="G19" i="5"/>
</calcChain>
</file>

<file path=xl/sharedStrings.xml><?xml version="1.0" encoding="utf-8"?>
<sst xmlns="http://schemas.openxmlformats.org/spreadsheetml/2006/main" count="708" uniqueCount="118">
  <si>
    <t>SMR Design</t>
  </si>
  <si>
    <t>Cohort</t>
  </si>
  <si>
    <t>Country</t>
  </si>
  <si>
    <t>Region</t>
  </si>
  <si>
    <t>OECD</t>
  </si>
  <si>
    <t>MW</t>
  </si>
  <si>
    <t xml:space="preserve">Design </t>
  </si>
  <si>
    <t>ACP-100</t>
  </si>
  <si>
    <t>Construction Phase</t>
  </si>
  <si>
    <t>CN</t>
  </si>
  <si>
    <t>Asia</t>
  </si>
  <si>
    <t>No</t>
  </si>
  <si>
    <t>ACPR50S</t>
  </si>
  <si>
    <t>DD Phase</t>
  </si>
  <si>
    <t>A-HTR-100</t>
  </si>
  <si>
    <t>BD Phase</t>
  </si>
  <si>
    <t>ZA</t>
  </si>
  <si>
    <t>Other (AR/ZA)</t>
  </si>
  <si>
    <t>AP300</t>
  </si>
  <si>
    <t>US</t>
  </si>
  <si>
    <t>North America</t>
  </si>
  <si>
    <t>Yes</t>
  </si>
  <si>
    <t>ARC-100</t>
  </si>
  <si>
    <t>CA</t>
  </si>
  <si>
    <t>Blue Capsule</t>
  </si>
  <si>
    <t>CD Phase</t>
  </si>
  <si>
    <t>FR</t>
  </si>
  <si>
    <t>Europe</t>
  </si>
  <si>
    <t>BREST-OD-300</t>
  </si>
  <si>
    <t>RU</t>
  </si>
  <si>
    <t>Russia</t>
  </si>
  <si>
    <t>BWRX-300</t>
  </si>
  <si>
    <t>Licensing Phase</t>
  </si>
  <si>
    <t>US/JP</t>
  </si>
  <si>
    <t>CAREM</t>
  </si>
  <si>
    <t>AR</t>
  </si>
  <si>
    <t>CMSR</t>
  </si>
  <si>
    <t>DK</t>
  </si>
  <si>
    <t>EM2</t>
  </si>
  <si>
    <t>FMR</t>
  </si>
  <si>
    <t>GTHTR300</t>
  </si>
  <si>
    <t>JP</t>
  </si>
  <si>
    <t>HEXANA</t>
  </si>
  <si>
    <t>HTMR-100</t>
  </si>
  <si>
    <t>IMSR 400</t>
  </si>
  <si>
    <t>i-SMR</t>
  </si>
  <si>
    <t>KR</t>
  </si>
  <si>
    <t>LFTR</t>
  </si>
  <si>
    <t>Natrium</t>
  </si>
  <si>
    <t>NuScale</t>
  </si>
  <si>
    <t>NUWARD</t>
  </si>
  <si>
    <t xml:space="preserve">FR </t>
  </si>
  <si>
    <t>OTRERA 300</t>
  </si>
  <si>
    <t>Rolls Royce-SMR</t>
  </si>
  <si>
    <t>UK</t>
  </si>
  <si>
    <t>SC-HTGR</t>
  </si>
  <si>
    <t>FR/US</t>
  </si>
  <si>
    <t>SEALER-55</t>
  </si>
  <si>
    <t>SE</t>
  </si>
  <si>
    <t>SMART100</t>
  </si>
  <si>
    <t>SMR-300</t>
  </si>
  <si>
    <t>SSR-W</t>
  </si>
  <si>
    <t>Stellarium</t>
  </si>
  <si>
    <t>Thorcon 500</t>
  </si>
  <si>
    <t>US/ID</t>
  </si>
  <si>
    <t>Thorizon</t>
  </si>
  <si>
    <t>NL</t>
  </si>
  <si>
    <t>W-LFR</t>
  </si>
  <si>
    <t>XAMR</t>
  </si>
  <si>
    <t>Xe-100</t>
  </si>
  <si>
    <t>MSR-100</t>
  </si>
  <si>
    <t>Conceptual design</t>
  </si>
  <si>
    <t>Aurora Powerhouse</t>
  </si>
  <si>
    <t>Basic design</t>
  </si>
  <si>
    <t>DF300</t>
  </si>
  <si>
    <t>START</t>
  </si>
  <si>
    <t>CH</t>
  </si>
  <si>
    <t xml:space="preserve">Blossom Energy </t>
  </si>
  <si>
    <t>OECD-Asia</t>
  </si>
  <si>
    <t>SALUS-100</t>
  </si>
  <si>
    <t>construction_readiness</t>
  </si>
  <si>
    <t>licensing_readiness</t>
  </si>
  <si>
    <t>Design</t>
  </si>
  <si>
    <t>Siting</t>
  </si>
  <si>
    <t>Financing</t>
  </si>
  <si>
    <t>Supply chain</t>
  </si>
  <si>
    <t>Fuel</t>
  </si>
  <si>
    <t>Thorizon One</t>
  </si>
  <si>
    <t>IMSR</t>
  </si>
  <si>
    <t>ThorCon 500</t>
  </si>
  <si>
    <t>Otrera 300</t>
  </si>
  <si>
    <t>LFR-AS-200</t>
  </si>
  <si>
    <t>LFR-AS-30</t>
  </si>
  <si>
    <t>HECTAR</t>
  </si>
  <si>
    <t>SEALER-One</t>
  </si>
  <si>
    <t>BANR</t>
  </si>
  <si>
    <t>ACP100</t>
  </si>
  <si>
    <t>AP300 SMR</t>
  </si>
  <si>
    <t>HAPPY200</t>
  </si>
  <si>
    <t>NHR200-II</t>
  </si>
  <si>
    <t>NUWARD SMR</t>
  </si>
  <si>
    <t>RR SMR</t>
  </si>
  <si>
    <t>KLT-40S</t>
  </si>
  <si>
    <t>RITM-200M</t>
  </si>
  <si>
    <t>RITM-200N</t>
  </si>
  <si>
    <t>RITM-200S</t>
  </si>
  <si>
    <t>GTHTR-300</t>
  </si>
  <si>
    <t>HTR-PM</t>
  </si>
  <si>
    <t>Blossom Energy SMR</t>
  </si>
  <si>
    <t>LFR -W</t>
  </si>
  <si>
    <t>SC-HTRG</t>
  </si>
  <si>
    <t xml:space="preserve">Natrium </t>
  </si>
  <si>
    <t>cooling_type</t>
  </si>
  <si>
    <t xml:space="preserve">gas </t>
  </si>
  <si>
    <t xml:space="preserve">metal </t>
  </si>
  <si>
    <t xml:space="preserve">salt </t>
  </si>
  <si>
    <t xml:space="preserve">water 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</si>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</sst>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44CB-0389-4858-90A2-EC262F8614CA}">
  <dimension ref="A1:H39"/>
  <sheetViews>
    <sheetView zoomScale="66" zoomScaleNormal="66" workbookViewId="0">
      <selection activeCell="G31" sqref="G31:G39"/>
    </sheetView>
  </sheetViews>
  <sheetFormatPr defaultRowHeight="14.4" x14ac:dyDescent="0.3"/>
  <cols>
    <col min="1" max="1" width="16.88671875" bestFit="1" customWidth="1"/>
    <col min="2" max="2" width="16.77734375" bestFit="1" customWidth="1"/>
    <col min="7" max="7" width="15.88671875" bestFit="1" customWidth="1"/>
    <col min="8" max="8" width="16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81</v>
      </c>
    </row>
    <row r="2" spans="1:8" x14ac:dyDescent="0.3">
      <c r="A2" t="s">
        <v>14</v>
      </c>
      <c r="B2" t="s">
        <v>15</v>
      </c>
      <c r="C2" t="s">
        <v>16</v>
      </c>
      <c r="D2" t="s">
        <v>17</v>
      </c>
      <c r="E2" t="s">
        <v>11</v>
      </c>
      <c r="F2">
        <v>50</v>
      </c>
      <c r="G2" t="s">
        <v>113</v>
      </c>
      <c r="H2">
        <v>2</v>
      </c>
    </row>
    <row r="3" spans="1:8" x14ac:dyDescent="0.3">
      <c r="A3" t="s">
        <v>38</v>
      </c>
      <c r="B3" t="s">
        <v>25</v>
      </c>
      <c r="C3" t="s">
        <v>19</v>
      </c>
      <c r="D3" t="s">
        <v>20</v>
      </c>
      <c r="E3" t="s">
        <v>21</v>
      </c>
      <c r="F3">
        <v>265</v>
      </c>
      <c r="G3" t="s">
        <v>113</v>
      </c>
      <c r="H3">
        <v>2</v>
      </c>
    </row>
    <row r="4" spans="1:8" x14ac:dyDescent="0.3">
      <c r="A4" t="s">
        <v>39</v>
      </c>
      <c r="B4" t="s">
        <v>25</v>
      </c>
      <c r="C4" t="s">
        <v>19</v>
      </c>
      <c r="D4" t="s">
        <v>20</v>
      </c>
      <c r="E4" t="s">
        <v>21</v>
      </c>
      <c r="F4">
        <v>50</v>
      </c>
      <c r="G4" t="s">
        <v>113</v>
      </c>
      <c r="H4">
        <v>2</v>
      </c>
    </row>
    <row r="5" spans="1:8" x14ac:dyDescent="0.3">
      <c r="A5" t="s">
        <v>69</v>
      </c>
      <c r="B5" t="s">
        <v>32</v>
      </c>
      <c r="C5" t="s">
        <v>19</v>
      </c>
      <c r="D5" t="s">
        <v>20</v>
      </c>
      <c r="E5" t="s">
        <v>21</v>
      </c>
      <c r="F5">
        <v>82.5</v>
      </c>
      <c r="G5" t="s">
        <v>113</v>
      </c>
      <c r="H5">
        <v>2</v>
      </c>
    </row>
    <row r="6" spans="1:8" x14ac:dyDescent="0.3">
      <c r="A6" t="s">
        <v>77</v>
      </c>
      <c r="B6" t="s">
        <v>71</v>
      </c>
      <c r="C6" t="s">
        <v>41</v>
      </c>
      <c r="D6" t="s">
        <v>78</v>
      </c>
      <c r="E6" t="s">
        <v>21</v>
      </c>
      <c r="F6">
        <v>180</v>
      </c>
      <c r="G6" t="s">
        <v>113</v>
      </c>
      <c r="H6">
        <v>1</v>
      </c>
    </row>
    <row r="7" spans="1:8" x14ac:dyDescent="0.3">
      <c r="A7" t="s">
        <v>40</v>
      </c>
      <c r="B7" t="s">
        <v>15</v>
      </c>
      <c r="C7" t="s">
        <v>41</v>
      </c>
      <c r="D7" t="s">
        <v>10</v>
      </c>
      <c r="E7" t="s">
        <v>21</v>
      </c>
      <c r="F7">
        <v>300</v>
      </c>
      <c r="G7" t="s">
        <v>113</v>
      </c>
      <c r="H7">
        <v>1</v>
      </c>
    </row>
    <row r="8" spans="1:8" x14ac:dyDescent="0.3">
      <c r="A8" t="s">
        <v>43</v>
      </c>
      <c r="B8" t="s">
        <v>15</v>
      </c>
      <c r="C8" t="s">
        <v>16</v>
      </c>
      <c r="D8" t="s">
        <v>17</v>
      </c>
      <c r="E8" t="s">
        <v>11</v>
      </c>
      <c r="F8">
        <v>35</v>
      </c>
      <c r="G8" t="s">
        <v>113</v>
      </c>
      <c r="H8">
        <v>1</v>
      </c>
    </row>
    <row r="9" spans="1:8" x14ac:dyDescent="0.3">
      <c r="A9" t="s">
        <v>55</v>
      </c>
      <c r="B9" t="s">
        <v>15</v>
      </c>
      <c r="C9" t="s">
        <v>56</v>
      </c>
      <c r="D9" t="s">
        <v>27</v>
      </c>
      <c r="E9" t="s">
        <v>21</v>
      </c>
      <c r="F9">
        <v>272</v>
      </c>
      <c r="G9" t="s">
        <v>113</v>
      </c>
      <c r="H9">
        <v>1</v>
      </c>
    </row>
    <row r="10" spans="1:8" x14ac:dyDescent="0.3">
      <c r="A10" t="s">
        <v>48</v>
      </c>
      <c r="B10" t="s">
        <v>15</v>
      </c>
      <c r="C10" t="s">
        <v>19</v>
      </c>
      <c r="D10" t="s">
        <v>20</v>
      </c>
      <c r="E10" t="s">
        <v>21</v>
      </c>
      <c r="F10">
        <v>345</v>
      </c>
      <c r="G10" t="s">
        <v>114</v>
      </c>
      <c r="H10">
        <v>3</v>
      </c>
    </row>
    <row r="11" spans="1:8" x14ac:dyDescent="0.3">
      <c r="A11" t="s">
        <v>22</v>
      </c>
      <c r="B11" t="s">
        <v>15</v>
      </c>
      <c r="C11" t="s">
        <v>23</v>
      </c>
      <c r="D11" t="s">
        <v>20</v>
      </c>
      <c r="E11" t="s">
        <v>21</v>
      </c>
      <c r="F11">
        <v>100</v>
      </c>
      <c r="G11" t="s">
        <v>114</v>
      </c>
      <c r="H11">
        <v>2</v>
      </c>
    </row>
    <row r="12" spans="1:8" x14ac:dyDescent="0.3">
      <c r="A12" t="s">
        <v>72</v>
      </c>
      <c r="B12" t="s">
        <v>73</v>
      </c>
      <c r="C12" t="s">
        <v>19</v>
      </c>
      <c r="D12" t="s">
        <v>20</v>
      </c>
      <c r="E12" t="s">
        <v>21</v>
      </c>
      <c r="F12">
        <v>75</v>
      </c>
      <c r="G12" t="s">
        <v>114</v>
      </c>
      <c r="H12">
        <v>2</v>
      </c>
    </row>
    <row r="13" spans="1:8" x14ac:dyDescent="0.3">
      <c r="A13" t="s">
        <v>24</v>
      </c>
      <c r="B13" t="s">
        <v>25</v>
      </c>
      <c r="C13" t="s">
        <v>26</v>
      </c>
      <c r="D13" t="s">
        <v>27</v>
      </c>
      <c r="E13" t="s">
        <v>21</v>
      </c>
      <c r="F13">
        <v>50</v>
      </c>
      <c r="G13" t="s">
        <v>114</v>
      </c>
      <c r="H13">
        <v>2</v>
      </c>
    </row>
    <row r="14" spans="1:8" x14ac:dyDescent="0.3">
      <c r="A14" t="s">
        <v>42</v>
      </c>
      <c r="B14" t="s">
        <v>25</v>
      </c>
      <c r="C14" t="s">
        <v>26</v>
      </c>
      <c r="D14" t="s">
        <v>27</v>
      </c>
      <c r="E14" t="s">
        <v>21</v>
      </c>
      <c r="F14">
        <v>150</v>
      </c>
      <c r="G14" t="s">
        <v>114</v>
      </c>
      <c r="H14">
        <v>2</v>
      </c>
    </row>
    <row r="15" spans="1:8" x14ac:dyDescent="0.3">
      <c r="A15" t="s">
        <v>52</v>
      </c>
      <c r="B15" t="s">
        <v>25</v>
      </c>
      <c r="C15" t="s">
        <v>26</v>
      </c>
      <c r="D15" t="s">
        <v>27</v>
      </c>
      <c r="E15" t="s">
        <v>21</v>
      </c>
      <c r="F15">
        <v>110</v>
      </c>
      <c r="G15" t="s">
        <v>114</v>
      </c>
      <c r="H15">
        <v>2</v>
      </c>
    </row>
    <row r="16" spans="1:8" x14ac:dyDescent="0.3">
      <c r="A16" t="s">
        <v>74</v>
      </c>
      <c r="B16" t="s">
        <v>71</v>
      </c>
      <c r="C16" t="s">
        <v>23</v>
      </c>
      <c r="D16" t="s">
        <v>20</v>
      </c>
      <c r="E16" t="s">
        <v>21</v>
      </c>
      <c r="F16">
        <v>300</v>
      </c>
      <c r="G16" t="s">
        <v>114</v>
      </c>
      <c r="H16">
        <v>1</v>
      </c>
    </row>
    <row r="17" spans="1:8" x14ac:dyDescent="0.3">
      <c r="A17" t="s">
        <v>79</v>
      </c>
      <c r="B17" t="s">
        <v>71</v>
      </c>
      <c r="C17" t="s">
        <v>46</v>
      </c>
      <c r="D17" t="s">
        <v>78</v>
      </c>
      <c r="E17" t="s">
        <v>21</v>
      </c>
      <c r="F17">
        <v>100</v>
      </c>
      <c r="G17" t="s">
        <v>114</v>
      </c>
      <c r="H17">
        <v>1</v>
      </c>
    </row>
    <row r="18" spans="1:8" x14ac:dyDescent="0.3">
      <c r="A18" t="s">
        <v>57</v>
      </c>
      <c r="B18" t="s">
        <v>13</v>
      </c>
      <c r="C18" t="s">
        <v>58</v>
      </c>
      <c r="D18" t="s">
        <v>27</v>
      </c>
      <c r="E18" t="s">
        <v>21</v>
      </c>
      <c r="F18">
        <v>55</v>
      </c>
      <c r="G18" t="s">
        <v>114</v>
      </c>
      <c r="H18">
        <v>1</v>
      </c>
    </row>
    <row r="19" spans="1:8" x14ac:dyDescent="0.3">
      <c r="A19" t="s">
        <v>75</v>
      </c>
      <c r="B19" t="s">
        <v>71</v>
      </c>
      <c r="C19" t="s">
        <v>76</v>
      </c>
      <c r="D19" t="s">
        <v>27</v>
      </c>
      <c r="E19" t="s">
        <v>21</v>
      </c>
      <c r="F19">
        <v>220</v>
      </c>
      <c r="G19" t="s">
        <v>114</v>
      </c>
      <c r="H19">
        <v>1</v>
      </c>
    </row>
    <row r="20" spans="1:8" x14ac:dyDescent="0.3">
      <c r="A20" t="s">
        <v>67</v>
      </c>
      <c r="B20" t="s">
        <v>25</v>
      </c>
      <c r="C20" t="s">
        <v>19</v>
      </c>
      <c r="D20" t="s">
        <v>20</v>
      </c>
      <c r="E20" t="s">
        <v>21</v>
      </c>
      <c r="F20">
        <v>450</v>
      </c>
      <c r="G20" t="s">
        <v>114</v>
      </c>
      <c r="H20">
        <v>1</v>
      </c>
    </row>
    <row r="21" spans="1:8" x14ac:dyDescent="0.3">
      <c r="A21" t="s">
        <v>91</v>
      </c>
      <c r="B21" t="s">
        <v>15</v>
      </c>
      <c r="C21" t="s">
        <v>117</v>
      </c>
      <c r="D21" t="s">
        <v>27</v>
      </c>
      <c r="E21" t="s">
        <v>21</v>
      </c>
      <c r="F21">
        <v>200</v>
      </c>
      <c r="G21" t="s">
        <v>114</v>
      </c>
      <c r="H21">
        <v>2</v>
      </c>
    </row>
    <row r="22" spans="1:8" x14ac:dyDescent="0.3">
      <c r="A22" t="s">
        <v>36</v>
      </c>
      <c r="B22" t="s">
        <v>25</v>
      </c>
      <c r="C22" t="s">
        <v>37</v>
      </c>
      <c r="D22" t="s">
        <v>27</v>
      </c>
      <c r="E22" t="s">
        <v>21</v>
      </c>
      <c r="F22">
        <v>100</v>
      </c>
      <c r="G22" t="s">
        <v>115</v>
      </c>
      <c r="H22">
        <v>2</v>
      </c>
    </row>
    <row r="23" spans="1:8" x14ac:dyDescent="0.3">
      <c r="A23" t="s">
        <v>44</v>
      </c>
      <c r="B23" t="s">
        <v>13</v>
      </c>
      <c r="C23" t="s">
        <v>23</v>
      </c>
      <c r="D23" t="s">
        <v>20</v>
      </c>
      <c r="E23" t="s">
        <v>21</v>
      </c>
      <c r="F23">
        <v>195</v>
      </c>
      <c r="G23" t="s">
        <v>115</v>
      </c>
      <c r="H23">
        <v>2</v>
      </c>
    </row>
    <row r="24" spans="1:8" x14ac:dyDescent="0.3">
      <c r="A24" t="s">
        <v>47</v>
      </c>
      <c r="B24" t="s">
        <v>25</v>
      </c>
      <c r="C24" t="s">
        <v>19</v>
      </c>
      <c r="D24" t="s">
        <v>20</v>
      </c>
      <c r="E24" t="s">
        <v>21</v>
      </c>
      <c r="F24">
        <v>250</v>
      </c>
      <c r="G24" t="s">
        <v>115</v>
      </c>
      <c r="H24">
        <v>2</v>
      </c>
    </row>
    <row r="25" spans="1:8" x14ac:dyDescent="0.3">
      <c r="A25" t="s">
        <v>61</v>
      </c>
      <c r="B25" t="s">
        <v>25</v>
      </c>
      <c r="C25" t="s">
        <v>23</v>
      </c>
      <c r="D25" t="s">
        <v>20</v>
      </c>
      <c r="E25" t="s">
        <v>21</v>
      </c>
      <c r="F25">
        <v>300</v>
      </c>
      <c r="G25" t="s">
        <v>115</v>
      </c>
      <c r="H25">
        <v>2</v>
      </c>
    </row>
    <row r="26" spans="1:8" x14ac:dyDescent="0.3">
      <c r="A26" t="s">
        <v>63</v>
      </c>
      <c r="B26" t="s">
        <v>25</v>
      </c>
      <c r="C26" t="s">
        <v>64</v>
      </c>
      <c r="D26" t="s">
        <v>20</v>
      </c>
      <c r="E26" t="s">
        <v>21</v>
      </c>
      <c r="F26">
        <v>500</v>
      </c>
      <c r="G26" t="s">
        <v>115</v>
      </c>
      <c r="H26">
        <v>2</v>
      </c>
    </row>
    <row r="27" spans="1:8" x14ac:dyDescent="0.3">
      <c r="A27" t="s">
        <v>65</v>
      </c>
      <c r="B27" t="s">
        <v>25</v>
      </c>
      <c r="C27" t="s">
        <v>66</v>
      </c>
      <c r="D27" t="s">
        <v>27</v>
      </c>
      <c r="E27" t="s">
        <v>21</v>
      </c>
      <c r="F27">
        <v>100</v>
      </c>
      <c r="G27" t="s">
        <v>115</v>
      </c>
      <c r="H27">
        <v>2</v>
      </c>
    </row>
    <row r="28" spans="1:8" x14ac:dyDescent="0.3">
      <c r="A28" t="s">
        <v>62</v>
      </c>
      <c r="B28" t="s">
        <v>25</v>
      </c>
      <c r="C28" t="s">
        <v>26</v>
      </c>
      <c r="D28" t="s">
        <v>27</v>
      </c>
      <c r="E28" t="s">
        <v>21</v>
      </c>
      <c r="F28">
        <v>110</v>
      </c>
      <c r="G28" t="s">
        <v>115</v>
      </c>
      <c r="H28">
        <v>1</v>
      </c>
    </row>
    <row r="29" spans="1:8" x14ac:dyDescent="0.3">
      <c r="A29" t="s">
        <v>68</v>
      </c>
      <c r="B29" t="s">
        <v>25</v>
      </c>
      <c r="C29" t="s">
        <v>26</v>
      </c>
      <c r="D29" t="s">
        <v>27</v>
      </c>
      <c r="E29" t="s">
        <v>21</v>
      </c>
      <c r="F29">
        <v>40</v>
      </c>
      <c r="G29" t="s">
        <v>115</v>
      </c>
      <c r="H29">
        <v>1</v>
      </c>
    </row>
    <row r="30" spans="1:8" x14ac:dyDescent="0.3">
      <c r="A30" t="s">
        <v>70</v>
      </c>
      <c r="B30" t="s">
        <v>71</v>
      </c>
      <c r="C30" t="s">
        <v>19</v>
      </c>
      <c r="D30" t="s">
        <v>20</v>
      </c>
      <c r="E30" t="s">
        <v>21</v>
      </c>
      <c r="F30">
        <v>100</v>
      </c>
      <c r="G30" t="s">
        <v>115</v>
      </c>
      <c r="H30">
        <v>5</v>
      </c>
    </row>
    <row r="31" spans="1:8" x14ac:dyDescent="0.3">
      <c r="A31" t="s">
        <v>59</v>
      </c>
      <c r="B31" t="s">
        <v>32</v>
      </c>
      <c r="C31" t="s">
        <v>46</v>
      </c>
      <c r="D31" t="s">
        <v>10</v>
      </c>
      <c r="E31" t="s">
        <v>21</v>
      </c>
      <c r="F31">
        <v>107</v>
      </c>
      <c r="G31" t="s">
        <v>116</v>
      </c>
      <c r="H31">
        <v>4</v>
      </c>
    </row>
    <row r="32" spans="1:8" x14ac:dyDescent="0.3">
      <c r="A32" t="s">
        <v>31</v>
      </c>
      <c r="B32" t="s">
        <v>32</v>
      </c>
      <c r="C32" t="s">
        <v>33</v>
      </c>
      <c r="D32" t="s">
        <v>20</v>
      </c>
      <c r="E32" t="s">
        <v>21</v>
      </c>
      <c r="F32">
        <v>300</v>
      </c>
      <c r="G32" t="s">
        <v>116</v>
      </c>
      <c r="H32">
        <v>3</v>
      </c>
    </row>
    <row r="33" spans="1:8" x14ac:dyDescent="0.3">
      <c r="A33" t="s">
        <v>49</v>
      </c>
      <c r="B33" t="s">
        <v>32</v>
      </c>
      <c r="C33" t="s">
        <v>19</v>
      </c>
      <c r="D33" t="s">
        <v>20</v>
      </c>
      <c r="E33" t="s">
        <v>21</v>
      </c>
      <c r="F33">
        <v>77</v>
      </c>
      <c r="G33" t="s">
        <v>116</v>
      </c>
      <c r="H33">
        <v>3</v>
      </c>
    </row>
    <row r="34" spans="1:8" x14ac:dyDescent="0.3">
      <c r="A34" t="s">
        <v>53</v>
      </c>
      <c r="B34" t="s">
        <v>13</v>
      </c>
      <c r="C34" t="s">
        <v>54</v>
      </c>
      <c r="D34" t="s">
        <v>27</v>
      </c>
      <c r="E34" t="s">
        <v>21</v>
      </c>
      <c r="F34">
        <v>470</v>
      </c>
      <c r="G34" t="s">
        <v>116</v>
      </c>
      <c r="H34">
        <v>3</v>
      </c>
    </row>
    <row r="35" spans="1:8" x14ac:dyDescent="0.3">
      <c r="A35" t="s">
        <v>18</v>
      </c>
      <c r="B35" t="s">
        <v>15</v>
      </c>
      <c r="C35" t="s">
        <v>19</v>
      </c>
      <c r="D35" t="s">
        <v>20</v>
      </c>
      <c r="E35" t="s">
        <v>21</v>
      </c>
      <c r="F35">
        <v>300</v>
      </c>
      <c r="G35" t="s">
        <v>116</v>
      </c>
      <c r="H35">
        <v>2</v>
      </c>
    </row>
    <row r="36" spans="1:8" x14ac:dyDescent="0.3">
      <c r="A36" t="s">
        <v>45</v>
      </c>
      <c r="B36" t="s">
        <v>15</v>
      </c>
      <c r="C36" t="s">
        <v>46</v>
      </c>
      <c r="D36" t="s">
        <v>10</v>
      </c>
      <c r="E36" t="s">
        <v>21</v>
      </c>
      <c r="F36">
        <v>170</v>
      </c>
      <c r="G36" t="s">
        <v>116</v>
      </c>
      <c r="H36">
        <v>2</v>
      </c>
    </row>
    <row r="37" spans="1:8" x14ac:dyDescent="0.3">
      <c r="A37" t="s">
        <v>60</v>
      </c>
      <c r="B37" t="s">
        <v>13</v>
      </c>
      <c r="C37" t="s">
        <v>19</v>
      </c>
      <c r="D37" t="s">
        <v>20</v>
      </c>
      <c r="E37" t="s">
        <v>21</v>
      </c>
      <c r="F37">
        <v>300</v>
      </c>
      <c r="G37" t="s">
        <v>116</v>
      </c>
      <c r="H37">
        <v>2</v>
      </c>
    </row>
    <row r="38" spans="1:8" x14ac:dyDescent="0.3">
      <c r="A38" t="s">
        <v>12</v>
      </c>
      <c r="B38" t="s">
        <v>13</v>
      </c>
      <c r="C38" t="s">
        <v>9</v>
      </c>
      <c r="D38" t="s">
        <v>10</v>
      </c>
      <c r="E38" t="s">
        <v>11</v>
      </c>
      <c r="F38">
        <v>50</v>
      </c>
      <c r="G38" t="s">
        <v>116</v>
      </c>
      <c r="H38">
        <v>1</v>
      </c>
    </row>
    <row r="39" spans="1:8" x14ac:dyDescent="0.3">
      <c r="A39" t="s">
        <v>50</v>
      </c>
      <c r="B39" t="s">
        <v>15</v>
      </c>
      <c r="C39" t="s">
        <v>51</v>
      </c>
      <c r="D39" t="s">
        <v>27</v>
      </c>
      <c r="E39" t="s">
        <v>21</v>
      </c>
      <c r="F39">
        <v>170</v>
      </c>
      <c r="G39" t="s">
        <v>116</v>
      </c>
      <c r="H39">
        <v>1</v>
      </c>
    </row>
  </sheetData>
  <sortState xmlns:xlrd2="http://schemas.microsoft.com/office/spreadsheetml/2017/richdata2" ref="A2:H39">
    <sortCondition ref="G1:G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CCC5-C725-41D0-BB9D-83CD473EBB06}">
  <dimension ref="A1:H42"/>
  <sheetViews>
    <sheetView tabSelected="1" zoomScale="78" zoomScaleNormal="78" workbookViewId="0">
      <selection activeCell="J1" sqref="J1:K1048576"/>
    </sheetView>
  </sheetViews>
  <sheetFormatPr defaultRowHeight="14.4" x14ac:dyDescent="0.3"/>
  <cols>
    <col min="1" max="1" width="16.88671875" bestFit="1" customWidth="1"/>
    <col min="2" max="2" width="16.77734375" bestFit="1" customWidth="1"/>
    <col min="7" max="7" width="1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80</v>
      </c>
    </row>
    <row r="2" spans="1:8" x14ac:dyDescent="0.3">
      <c r="A2" t="s">
        <v>14</v>
      </c>
      <c r="B2" t="s">
        <v>15</v>
      </c>
      <c r="C2" t="s">
        <v>16</v>
      </c>
      <c r="D2" t="s">
        <v>17</v>
      </c>
      <c r="E2" t="s">
        <v>11</v>
      </c>
      <c r="F2">
        <v>50</v>
      </c>
      <c r="G2" t="s">
        <v>113</v>
      </c>
      <c r="H2">
        <v>3.25</v>
      </c>
    </row>
    <row r="3" spans="1:8" x14ac:dyDescent="0.3">
      <c r="A3" t="s">
        <v>77</v>
      </c>
      <c r="B3" t="s">
        <v>71</v>
      </c>
      <c r="C3" t="s">
        <v>41</v>
      </c>
      <c r="D3" t="s">
        <v>78</v>
      </c>
      <c r="E3" t="s">
        <v>21</v>
      </c>
      <c r="F3">
        <v>180</v>
      </c>
      <c r="G3" t="s">
        <v>113</v>
      </c>
      <c r="H3">
        <v>1.25</v>
      </c>
    </row>
    <row r="4" spans="1:8" x14ac:dyDescent="0.3">
      <c r="A4" t="s">
        <v>38</v>
      </c>
      <c r="B4" t="s">
        <v>25</v>
      </c>
      <c r="C4" t="s">
        <v>19</v>
      </c>
      <c r="D4" t="s">
        <v>20</v>
      </c>
      <c r="E4" t="s">
        <v>21</v>
      </c>
      <c r="F4">
        <v>265</v>
      </c>
      <c r="G4" t="s">
        <v>113</v>
      </c>
      <c r="H4">
        <v>1.5</v>
      </c>
    </row>
    <row r="5" spans="1:8" x14ac:dyDescent="0.3">
      <c r="A5" t="s">
        <v>39</v>
      </c>
      <c r="B5" t="s">
        <v>25</v>
      </c>
      <c r="C5" t="s">
        <v>19</v>
      </c>
      <c r="D5" t="s">
        <v>20</v>
      </c>
      <c r="E5" t="s">
        <v>21</v>
      </c>
      <c r="F5">
        <v>50</v>
      </c>
      <c r="G5" t="s">
        <v>113</v>
      </c>
      <c r="H5">
        <v>1.75</v>
      </c>
    </row>
    <row r="6" spans="1:8" x14ac:dyDescent="0.3">
      <c r="A6" t="s">
        <v>40</v>
      </c>
      <c r="B6" t="s">
        <v>15</v>
      </c>
      <c r="C6" t="s">
        <v>41</v>
      </c>
      <c r="D6" t="s">
        <v>10</v>
      </c>
      <c r="E6" t="s">
        <v>21</v>
      </c>
      <c r="F6">
        <v>300</v>
      </c>
      <c r="G6" t="s">
        <v>113</v>
      </c>
      <c r="H6">
        <v>1.5</v>
      </c>
    </row>
    <row r="7" spans="1:8" x14ac:dyDescent="0.3">
      <c r="A7" t="s">
        <v>43</v>
      </c>
      <c r="B7" t="s">
        <v>15</v>
      </c>
      <c r="C7" t="s">
        <v>16</v>
      </c>
      <c r="D7" t="s">
        <v>17</v>
      </c>
      <c r="E7" t="s">
        <v>11</v>
      </c>
      <c r="F7">
        <v>35</v>
      </c>
      <c r="G7" t="s">
        <v>113</v>
      </c>
      <c r="H7">
        <v>1.25</v>
      </c>
    </row>
    <row r="8" spans="1:8" x14ac:dyDescent="0.3">
      <c r="A8" t="s">
        <v>55</v>
      </c>
      <c r="B8" t="s">
        <v>15</v>
      </c>
      <c r="C8" t="s">
        <v>56</v>
      </c>
      <c r="D8" t="s">
        <v>27</v>
      </c>
      <c r="E8" t="s">
        <v>21</v>
      </c>
      <c r="F8">
        <v>272</v>
      </c>
      <c r="G8" t="s">
        <v>113</v>
      </c>
      <c r="H8">
        <v>1.25</v>
      </c>
    </row>
    <row r="9" spans="1:8" x14ac:dyDescent="0.3">
      <c r="A9" t="s">
        <v>69</v>
      </c>
      <c r="B9" t="s">
        <v>32</v>
      </c>
      <c r="C9" t="s">
        <v>19</v>
      </c>
      <c r="D9" t="s">
        <v>20</v>
      </c>
      <c r="E9" t="s">
        <v>21</v>
      </c>
      <c r="F9">
        <v>82.5</v>
      </c>
      <c r="G9" t="s">
        <v>113</v>
      </c>
      <c r="H9">
        <v>3.75</v>
      </c>
    </row>
    <row r="10" spans="1:8" x14ac:dyDescent="0.3">
      <c r="A10" t="s">
        <v>22</v>
      </c>
      <c r="B10" t="s">
        <v>15</v>
      </c>
      <c r="C10" t="s">
        <v>23</v>
      </c>
      <c r="D10" t="s">
        <v>20</v>
      </c>
      <c r="E10" t="s">
        <v>21</v>
      </c>
      <c r="F10">
        <v>100</v>
      </c>
      <c r="G10" t="s">
        <v>114</v>
      </c>
      <c r="H10">
        <v>3</v>
      </c>
    </row>
    <row r="11" spans="1:8" x14ac:dyDescent="0.3">
      <c r="A11" t="s">
        <v>72</v>
      </c>
      <c r="B11" t="s">
        <v>73</v>
      </c>
      <c r="C11" t="s">
        <v>19</v>
      </c>
      <c r="D11" t="s">
        <v>20</v>
      </c>
      <c r="E11" t="s">
        <v>21</v>
      </c>
      <c r="F11">
        <v>75</v>
      </c>
      <c r="G11" t="s">
        <v>114</v>
      </c>
      <c r="H11">
        <v>3.5</v>
      </c>
    </row>
    <row r="12" spans="1:8" x14ac:dyDescent="0.3">
      <c r="A12" t="s">
        <v>24</v>
      </c>
      <c r="B12" t="s">
        <v>25</v>
      </c>
      <c r="C12" t="s">
        <v>26</v>
      </c>
      <c r="D12" t="s">
        <v>27</v>
      </c>
      <c r="E12" t="s">
        <v>21</v>
      </c>
      <c r="F12">
        <v>50</v>
      </c>
      <c r="G12" t="s">
        <v>114</v>
      </c>
      <c r="H12">
        <v>2</v>
      </c>
    </row>
    <row r="13" spans="1:8" x14ac:dyDescent="0.3">
      <c r="A13" t="s">
        <v>28</v>
      </c>
      <c r="B13" t="s">
        <v>8</v>
      </c>
      <c r="C13" t="s">
        <v>29</v>
      </c>
      <c r="D13" t="s">
        <v>30</v>
      </c>
      <c r="E13" t="s">
        <v>11</v>
      </c>
      <c r="F13">
        <v>300</v>
      </c>
      <c r="G13" t="s">
        <v>114</v>
      </c>
      <c r="H13">
        <v>4.75</v>
      </c>
    </row>
    <row r="14" spans="1:8" x14ac:dyDescent="0.3">
      <c r="A14" t="s">
        <v>74</v>
      </c>
      <c r="B14" t="s">
        <v>71</v>
      </c>
      <c r="C14" t="s">
        <v>23</v>
      </c>
      <c r="D14" t="s">
        <v>20</v>
      </c>
      <c r="E14" t="s">
        <v>21</v>
      </c>
      <c r="F14">
        <v>300</v>
      </c>
      <c r="G14" t="s">
        <v>114</v>
      </c>
      <c r="H14">
        <v>1.75</v>
      </c>
    </row>
    <row r="15" spans="1:8" x14ac:dyDescent="0.3">
      <c r="A15" t="s">
        <v>42</v>
      </c>
      <c r="B15" t="s">
        <v>25</v>
      </c>
      <c r="C15" t="s">
        <v>26</v>
      </c>
      <c r="D15" t="s">
        <v>27</v>
      </c>
      <c r="E15" t="s">
        <v>21</v>
      </c>
      <c r="F15">
        <v>150</v>
      </c>
      <c r="G15" t="s">
        <v>114</v>
      </c>
      <c r="H15">
        <v>1.5</v>
      </c>
    </row>
    <row r="16" spans="1:8" x14ac:dyDescent="0.3">
      <c r="A16" t="s">
        <v>48</v>
      </c>
      <c r="B16" t="s">
        <v>15</v>
      </c>
      <c r="C16" t="s">
        <v>19</v>
      </c>
      <c r="D16" t="s">
        <v>20</v>
      </c>
      <c r="E16" t="s">
        <v>21</v>
      </c>
      <c r="F16">
        <v>345</v>
      </c>
      <c r="G16" t="s">
        <v>114</v>
      </c>
      <c r="H16">
        <v>3.75</v>
      </c>
    </row>
    <row r="17" spans="1:8" x14ac:dyDescent="0.3">
      <c r="A17" t="s">
        <v>52</v>
      </c>
      <c r="B17" t="s">
        <v>25</v>
      </c>
      <c r="C17" t="s">
        <v>26</v>
      </c>
      <c r="D17" t="s">
        <v>27</v>
      </c>
      <c r="E17" t="s">
        <v>21</v>
      </c>
      <c r="F17">
        <v>110</v>
      </c>
      <c r="G17" t="s">
        <v>114</v>
      </c>
      <c r="H17">
        <v>1.5</v>
      </c>
    </row>
    <row r="18" spans="1:8" x14ac:dyDescent="0.3">
      <c r="A18" t="s">
        <v>79</v>
      </c>
      <c r="B18" t="s">
        <v>71</v>
      </c>
      <c r="C18" t="s">
        <v>46</v>
      </c>
      <c r="D18" t="s">
        <v>78</v>
      </c>
      <c r="E18" t="s">
        <v>21</v>
      </c>
      <c r="F18">
        <v>100</v>
      </c>
      <c r="G18" t="s">
        <v>114</v>
      </c>
      <c r="H18">
        <v>1.25</v>
      </c>
    </row>
    <row r="19" spans="1:8" x14ac:dyDescent="0.3">
      <c r="A19" t="s">
        <v>57</v>
      </c>
      <c r="B19" t="s">
        <v>13</v>
      </c>
      <c r="C19" t="s">
        <v>58</v>
      </c>
      <c r="D19" t="s">
        <v>27</v>
      </c>
      <c r="E19" t="s">
        <v>21</v>
      </c>
      <c r="F19">
        <v>55</v>
      </c>
      <c r="G19" t="s">
        <v>114</v>
      </c>
      <c r="H19">
        <v>3.25</v>
      </c>
    </row>
    <row r="20" spans="1:8" x14ac:dyDescent="0.3">
      <c r="A20" t="s">
        <v>75</v>
      </c>
      <c r="B20" t="s">
        <v>71</v>
      </c>
      <c r="C20" t="s">
        <v>76</v>
      </c>
      <c r="D20" t="s">
        <v>27</v>
      </c>
      <c r="E20" t="s">
        <v>21</v>
      </c>
      <c r="F20">
        <v>220</v>
      </c>
      <c r="G20" t="s">
        <v>114</v>
      </c>
      <c r="H20">
        <v>1.5</v>
      </c>
    </row>
    <row r="21" spans="1:8" x14ac:dyDescent="0.3">
      <c r="A21" t="s">
        <v>67</v>
      </c>
      <c r="B21" t="s">
        <v>25</v>
      </c>
      <c r="C21" t="s">
        <v>19</v>
      </c>
      <c r="D21" t="s">
        <v>20</v>
      </c>
      <c r="E21" t="s">
        <v>21</v>
      </c>
      <c r="F21">
        <v>450</v>
      </c>
      <c r="G21" t="s">
        <v>114</v>
      </c>
      <c r="H21">
        <v>2.25</v>
      </c>
    </row>
    <row r="22" spans="1:8" x14ac:dyDescent="0.3">
      <c r="A22" t="s">
        <v>91</v>
      </c>
      <c r="B22" t="s">
        <v>73</v>
      </c>
      <c r="C22" t="s">
        <v>117</v>
      </c>
      <c r="D22" t="s">
        <v>27</v>
      </c>
      <c r="E22" t="s">
        <v>21</v>
      </c>
      <c r="F22">
        <v>200</v>
      </c>
      <c r="G22" t="s">
        <v>114</v>
      </c>
      <c r="H22">
        <v>3</v>
      </c>
    </row>
    <row r="23" spans="1:8" x14ac:dyDescent="0.3">
      <c r="A23" t="s">
        <v>36</v>
      </c>
      <c r="B23" t="s">
        <v>25</v>
      </c>
      <c r="C23" t="s">
        <v>37</v>
      </c>
      <c r="D23" t="s">
        <v>27</v>
      </c>
      <c r="E23" t="s">
        <v>21</v>
      </c>
      <c r="F23">
        <v>100</v>
      </c>
      <c r="G23" t="s">
        <v>115</v>
      </c>
      <c r="H23">
        <v>2.75</v>
      </c>
    </row>
    <row r="24" spans="1:8" x14ac:dyDescent="0.3">
      <c r="A24" t="s">
        <v>44</v>
      </c>
      <c r="B24" t="s">
        <v>13</v>
      </c>
      <c r="C24" t="s">
        <v>23</v>
      </c>
      <c r="D24" t="s">
        <v>20</v>
      </c>
      <c r="E24" t="s">
        <v>21</v>
      </c>
      <c r="F24">
        <v>195</v>
      </c>
      <c r="G24" t="s">
        <v>115</v>
      </c>
      <c r="H24">
        <v>3.25</v>
      </c>
    </row>
    <row r="25" spans="1:8" x14ac:dyDescent="0.3">
      <c r="A25" t="s">
        <v>47</v>
      </c>
      <c r="B25" t="s">
        <v>25</v>
      </c>
      <c r="C25" t="s">
        <v>19</v>
      </c>
      <c r="D25" t="s">
        <v>20</v>
      </c>
      <c r="E25" t="s">
        <v>21</v>
      </c>
      <c r="F25">
        <v>250</v>
      </c>
      <c r="G25" t="s">
        <v>115</v>
      </c>
      <c r="H25">
        <v>1.75</v>
      </c>
    </row>
    <row r="26" spans="1:8" x14ac:dyDescent="0.3">
      <c r="A26" t="s">
        <v>61</v>
      </c>
      <c r="B26" t="s">
        <v>25</v>
      </c>
      <c r="C26" t="s">
        <v>23</v>
      </c>
      <c r="D26" t="s">
        <v>20</v>
      </c>
      <c r="E26" t="s">
        <v>21</v>
      </c>
      <c r="F26">
        <v>300</v>
      </c>
      <c r="G26" t="s">
        <v>115</v>
      </c>
      <c r="H26">
        <v>3.25</v>
      </c>
    </row>
    <row r="27" spans="1:8" x14ac:dyDescent="0.3">
      <c r="A27" t="s">
        <v>62</v>
      </c>
      <c r="B27" t="s">
        <v>25</v>
      </c>
      <c r="C27" t="s">
        <v>26</v>
      </c>
      <c r="D27" t="s">
        <v>27</v>
      </c>
      <c r="E27" t="s">
        <v>21</v>
      </c>
      <c r="F27">
        <v>110</v>
      </c>
      <c r="G27" t="s">
        <v>115</v>
      </c>
      <c r="H27">
        <v>2</v>
      </c>
    </row>
    <row r="28" spans="1:8" x14ac:dyDescent="0.3">
      <c r="A28" t="s">
        <v>63</v>
      </c>
      <c r="B28" t="s">
        <v>25</v>
      </c>
      <c r="C28" t="s">
        <v>64</v>
      </c>
      <c r="D28" t="s">
        <v>20</v>
      </c>
      <c r="E28" t="s">
        <v>21</v>
      </c>
      <c r="F28">
        <v>500</v>
      </c>
      <c r="G28" t="s">
        <v>115</v>
      </c>
      <c r="H28">
        <v>1.75</v>
      </c>
    </row>
    <row r="29" spans="1:8" x14ac:dyDescent="0.3">
      <c r="A29" t="s">
        <v>65</v>
      </c>
      <c r="B29" t="s">
        <v>25</v>
      </c>
      <c r="C29" t="s">
        <v>66</v>
      </c>
      <c r="D29" t="s">
        <v>27</v>
      </c>
      <c r="E29" t="s">
        <v>21</v>
      </c>
      <c r="F29">
        <v>100</v>
      </c>
      <c r="G29" t="s">
        <v>115</v>
      </c>
      <c r="H29">
        <v>2.5</v>
      </c>
    </row>
    <row r="30" spans="1:8" x14ac:dyDescent="0.3">
      <c r="A30" t="s">
        <v>68</v>
      </c>
      <c r="B30" t="s">
        <v>25</v>
      </c>
      <c r="C30" t="s">
        <v>26</v>
      </c>
      <c r="D30" t="s">
        <v>27</v>
      </c>
      <c r="E30" t="s">
        <v>21</v>
      </c>
      <c r="F30">
        <v>40</v>
      </c>
      <c r="G30" t="s">
        <v>115</v>
      </c>
      <c r="H30">
        <v>2</v>
      </c>
    </row>
    <row r="31" spans="1:8" x14ac:dyDescent="0.3">
      <c r="A31" t="s">
        <v>70</v>
      </c>
      <c r="B31" t="s">
        <v>71</v>
      </c>
      <c r="C31" t="s">
        <v>19</v>
      </c>
      <c r="D31" t="s">
        <v>20</v>
      </c>
      <c r="E31" t="s">
        <v>21</v>
      </c>
      <c r="F31">
        <v>100</v>
      </c>
      <c r="G31" t="s">
        <v>115</v>
      </c>
      <c r="H31">
        <v>3.25</v>
      </c>
    </row>
    <row r="32" spans="1:8" x14ac:dyDescent="0.3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>
        <v>125</v>
      </c>
      <c r="G32" t="s">
        <v>116</v>
      </c>
      <c r="H32">
        <v>3.5</v>
      </c>
    </row>
    <row r="33" spans="1:8" x14ac:dyDescent="0.3">
      <c r="A33" t="s">
        <v>12</v>
      </c>
      <c r="B33" t="s">
        <v>13</v>
      </c>
      <c r="C33" t="s">
        <v>9</v>
      </c>
      <c r="D33" t="s">
        <v>10</v>
      </c>
      <c r="E33" t="s">
        <v>11</v>
      </c>
      <c r="F33">
        <v>50</v>
      </c>
      <c r="G33" t="s">
        <v>116</v>
      </c>
      <c r="H33">
        <v>1.75</v>
      </c>
    </row>
    <row r="34" spans="1:8" x14ac:dyDescent="0.3">
      <c r="A34" t="s">
        <v>18</v>
      </c>
      <c r="B34" t="s">
        <v>15</v>
      </c>
      <c r="C34" t="s">
        <v>19</v>
      </c>
      <c r="D34" t="s">
        <v>20</v>
      </c>
      <c r="E34" t="s">
        <v>21</v>
      </c>
      <c r="F34">
        <v>300</v>
      </c>
      <c r="G34" t="s">
        <v>116</v>
      </c>
      <c r="H34">
        <v>3</v>
      </c>
    </row>
    <row r="35" spans="1:8" x14ac:dyDescent="0.3">
      <c r="A35" t="s">
        <v>31</v>
      </c>
      <c r="B35" t="s">
        <v>32</v>
      </c>
      <c r="C35" t="s">
        <v>33</v>
      </c>
      <c r="D35" t="s">
        <v>20</v>
      </c>
      <c r="E35" t="s">
        <v>21</v>
      </c>
      <c r="F35">
        <v>300</v>
      </c>
      <c r="G35" t="s">
        <v>116</v>
      </c>
      <c r="H35">
        <v>4.75</v>
      </c>
    </row>
    <row r="36" spans="1:8" x14ac:dyDescent="0.3">
      <c r="A36" t="s">
        <v>34</v>
      </c>
      <c r="B36" t="s">
        <v>8</v>
      </c>
      <c r="C36" t="s">
        <v>35</v>
      </c>
      <c r="D36" t="s">
        <v>17</v>
      </c>
      <c r="E36" t="s">
        <v>11</v>
      </c>
      <c r="F36">
        <v>30</v>
      </c>
      <c r="G36" t="s">
        <v>116</v>
      </c>
      <c r="H36">
        <v>5.25</v>
      </c>
    </row>
    <row r="37" spans="1:8" x14ac:dyDescent="0.3">
      <c r="A37" t="s">
        <v>45</v>
      </c>
      <c r="B37" t="s">
        <v>15</v>
      </c>
      <c r="C37" t="s">
        <v>46</v>
      </c>
      <c r="D37" t="s">
        <v>10</v>
      </c>
      <c r="E37" t="s">
        <v>21</v>
      </c>
      <c r="F37">
        <v>170</v>
      </c>
      <c r="G37" t="s">
        <v>116</v>
      </c>
      <c r="H37">
        <v>3.5</v>
      </c>
    </row>
    <row r="38" spans="1:8" x14ac:dyDescent="0.3">
      <c r="A38" t="s">
        <v>49</v>
      </c>
      <c r="B38" t="s">
        <v>32</v>
      </c>
      <c r="C38" t="s">
        <v>19</v>
      </c>
      <c r="D38" t="s">
        <v>20</v>
      </c>
      <c r="E38" t="s">
        <v>21</v>
      </c>
      <c r="F38">
        <v>77</v>
      </c>
      <c r="G38" t="s">
        <v>116</v>
      </c>
      <c r="H38">
        <v>4</v>
      </c>
    </row>
    <row r="39" spans="1:8" x14ac:dyDescent="0.3">
      <c r="A39" t="s">
        <v>50</v>
      </c>
      <c r="B39" t="s">
        <v>15</v>
      </c>
      <c r="C39" t="s">
        <v>51</v>
      </c>
      <c r="D39" t="s">
        <v>27</v>
      </c>
      <c r="E39" t="s">
        <v>21</v>
      </c>
      <c r="F39">
        <v>170</v>
      </c>
      <c r="G39" t="s">
        <v>116</v>
      </c>
      <c r="H39">
        <v>3.5</v>
      </c>
    </row>
    <row r="40" spans="1:8" x14ac:dyDescent="0.3">
      <c r="A40" t="s">
        <v>53</v>
      </c>
      <c r="B40" t="s">
        <v>13</v>
      </c>
      <c r="C40" t="s">
        <v>54</v>
      </c>
      <c r="D40" t="s">
        <v>27</v>
      </c>
      <c r="E40" t="s">
        <v>21</v>
      </c>
      <c r="F40">
        <v>470</v>
      </c>
      <c r="G40" t="s">
        <v>116</v>
      </c>
      <c r="H40">
        <v>3.75</v>
      </c>
    </row>
    <row r="41" spans="1:8" x14ac:dyDescent="0.3">
      <c r="A41" t="s">
        <v>59</v>
      </c>
      <c r="B41" t="s">
        <v>32</v>
      </c>
      <c r="C41" t="s">
        <v>46</v>
      </c>
      <c r="D41" t="s">
        <v>10</v>
      </c>
      <c r="E41" t="s">
        <v>21</v>
      </c>
      <c r="F41">
        <v>107</v>
      </c>
      <c r="G41" t="s">
        <v>116</v>
      </c>
      <c r="H41">
        <v>3</v>
      </c>
    </row>
    <row r="42" spans="1:8" x14ac:dyDescent="0.3">
      <c r="A42" t="s">
        <v>60</v>
      </c>
      <c r="B42" t="s">
        <v>13</v>
      </c>
      <c r="C42" t="s">
        <v>19</v>
      </c>
      <c r="D42" t="s">
        <v>20</v>
      </c>
      <c r="E42" t="s">
        <v>21</v>
      </c>
      <c r="F42">
        <v>300</v>
      </c>
      <c r="G42" t="s">
        <v>116</v>
      </c>
      <c r="H42">
        <v>4</v>
      </c>
    </row>
  </sheetData>
  <sortState xmlns:xlrd2="http://schemas.microsoft.com/office/spreadsheetml/2017/richdata2" ref="A2:H42">
    <sortCondition ref="G1:G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1499-19B0-474F-BBB8-2B6E13C43595}">
  <dimension ref="A1:C53"/>
  <sheetViews>
    <sheetView zoomScale="63" zoomScaleNormal="63" workbookViewId="0">
      <selection activeCell="C27" sqref="C13:C27"/>
    </sheetView>
  </sheetViews>
  <sheetFormatPr defaultRowHeight="14.4" x14ac:dyDescent="0.3"/>
  <cols>
    <col min="1" max="1" width="17.6640625" bestFit="1" customWidth="1"/>
    <col min="2" max="2" width="11.44140625" bestFit="1" customWidth="1"/>
    <col min="3" max="3" width="17.44140625" bestFit="1" customWidth="1"/>
  </cols>
  <sheetData>
    <row r="1" spans="1:3" x14ac:dyDescent="0.3">
      <c r="A1" s="2" t="s">
        <v>82</v>
      </c>
      <c r="B1" s="2" t="s">
        <v>112</v>
      </c>
      <c r="C1" s="2" t="s">
        <v>81</v>
      </c>
    </row>
    <row r="2" spans="1:3" x14ac:dyDescent="0.3">
      <c r="A2" s="4" t="s">
        <v>14</v>
      </c>
      <c r="B2" s="3" t="s">
        <v>113</v>
      </c>
      <c r="C2" s="4">
        <v>1</v>
      </c>
    </row>
    <row r="3" spans="1:3" x14ac:dyDescent="0.3">
      <c r="A3" s="4" t="s">
        <v>95</v>
      </c>
      <c r="B3" s="3" t="s">
        <v>113</v>
      </c>
      <c r="C3" s="4">
        <v>2</v>
      </c>
    </row>
    <row r="4" spans="1:3" x14ac:dyDescent="0.3">
      <c r="A4" s="4" t="s">
        <v>108</v>
      </c>
      <c r="B4" s="3" t="s">
        <v>113</v>
      </c>
      <c r="C4" s="4">
        <v>1</v>
      </c>
    </row>
    <row r="5" spans="1:3" x14ac:dyDescent="0.3">
      <c r="A5" s="4" t="s">
        <v>38</v>
      </c>
      <c r="B5" s="3" t="s">
        <v>113</v>
      </c>
      <c r="C5" s="4">
        <v>2</v>
      </c>
    </row>
    <row r="6" spans="1:3" x14ac:dyDescent="0.3">
      <c r="A6" s="4" t="s">
        <v>39</v>
      </c>
      <c r="B6" s="3" t="s">
        <v>113</v>
      </c>
      <c r="C6" s="4">
        <v>2</v>
      </c>
    </row>
    <row r="7" spans="1:3" x14ac:dyDescent="0.3">
      <c r="A7" s="4" t="s">
        <v>106</v>
      </c>
      <c r="B7" s="3" t="s">
        <v>113</v>
      </c>
      <c r="C7" s="4">
        <v>1</v>
      </c>
    </row>
    <row r="8" spans="1:3" x14ac:dyDescent="0.3">
      <c r="A8" s="4" t="s">
        <v>43</v>
      </c>
      <c r="B8" s="3" t="s">
        <v>113</v>
      </c>
      <c r="C8" s="4">
        <v>1</v>
      </c>
    </row>
    <row r="9" spans="1:3" x14ac:dyDescent="0.3">
      <c r="A9" s="4" t="s">
        <v>107</v>
      </c>
      <c r="B9" s="3" t="s">
        <v>113</v>
      </c>
      <c r="C9" s="4">
        <v>6</v>
      </c>
    </row>
    <row r="10" spans="1:3" x14ac:dyDescent="0.3">
      <c r="A10" s="4" t="s">
        <v>110</v>
      </c>
      <c r="B10" s="3" t="s">
        <v>113</v>
      </c>
      <c r="C10" s="4">
        <v>1</v>
      </c>
    </row>
    <row r="11" spans="1:3" x14ac:dyDescent="0.3">
      <c r="A11" s="4" t="s">
        <v>69</v>
      </c>
      <c r="B11" s="3" t="s">
        <v>113</v>
      </c>
      <c r="C11" s="4">
        <v>2</v>
      </c>
    </row>
    <row r="12" spans="1:3" x14ac:dyDescent="0.3">
      <c r="A12" s="4" t="s">
        <v>93</v>
      </c>
      <c r="B12" s="3" t="s">
        <v>113</v>
      </c>
      <c r="C12" s="4">
        <v>1</v>
      </c>
    </row>
    <row r="13" spans="1:3" x14ac:dyDescent="0.3">
      <c r="A13" s="4" t="s">
        <v>92</v>
      </c>
      <c r="B13" s="3" t="s">
        <v>114</v>
      </c>
      <c r="C13" s="4">
        <v>2</v>
      </c>
    </row>
    <row r="14" spans="1:3" x14ac:dyDescent="0.3">
      <c r="A14" s="4" t="s">
        <v>75</v>
      </c>
      <c r="B14" s="3" t="s">
        <v>114</v>
      </c>
      <c r="C14" s="4">
        <v>1</v>
      </c>
    </row>
    <row r="15" spans="1:3" x14ac:dyDescent="0.3">
      <c r="A15" s="4" t="s">
        <v>109</v>
      </c>
      <c r="B15" s="3" t="s">
        <v>114</v>
      </c>
      <c r="C15" s="4">
        <v>1</v>
      </c>
    </row>
    <row r="16" spans="1:3" x14ac:dyDescent="0.3">
      <c r="A16" s="4" t="s">
        <v>91</v>
      </c>
      <c r="B16" s="3" t="s">
        <v>114</v>
      </c>
      <c r="C16" s="4">
        <v>2</v>
      </c>
    </row>
    <row r="17" spans="1:3" x14ac:dyDescent="0.3">
      <c r="A17" s="4" t="s">
        <v>22</v>
      </c>
      <c r="B17" s="3" t="s">
        <v>114</v>
      </c>
      <c r="C17" s="4">
        <v>2</v>
      </c>
    </row>
    <row r="18" spans="1:3" x14ac:dyDescent="0.3">
      <c r="A18" s="4" t="s">
        <v>72</v>
      </c>
      <c r="B18" s="3" t="s">
        <v>114</v>
      </c>
      <c r="C18" s="4">
        <v>2</v>
      </c>
    </row>
    <row r="19" spans="1:3" x14ac:dyDescent="0.3">
      <c r="A19" s="4" t="s">
        <v>24</v>
      </c>
      <c r="B19" s="3" t="s">
        <v>114</v>
      </c>
      <c r="C19" s="4">
        <v>2</v>
      </c>
    </row>
    <row r="20" spans="1:3" x14ac:dyDescent="0.3">
      <c r="A20" s="4" t="s">
        <v>28</v>
      </c>
      <c r="B20" s="3" t="s">
        <v>114</v>
      </c>
      <c r="C20" s="4">
        <v>5</v>
      </c>
    </row>
    <row r="21" spans="1:3" x14ac:dyDescent="0.3">
      <c r="A21" s="4" t="s">
        <v>74</v>
      </c>
      <c r="B21" s="3" t="s">
        <v>114</v>
      </c>
      <c r="C21" s="4">
        <v>1</v>
      </c>
    </row>
    <row r="22" spans="1:3" x14ac:dyDescent="0.3">
      <c r="A22" s="4" t="s">
        <v>42</v>
      </c>
      <c r="B22" s="3" t="s">
        <v>114</v>
      </c>
      <c r="C22" s="4">
        <v>2</v>
      </c>
    </row>
    <row r="23" spans="1:3" x14ac:dyDescent="0.3">
      <c r="A23" s="4" t="s">
        <v>111</v>
      </c>
      <c r="B23" s="3" t="s">
        <v>114</v>
      </c>
      <c r="C23" s="4">
        <v>3</v>
      </c>
    </row>
    <row r="24" spans="1:3" x14ac:dyDescent="0.3">
      <c r="A24" s="4" t="s">
        <v>90</v>
      </c>
      <c r="B24" s="3" t="s">
        <v>114</v>
      </c>
      <c r="C24" s="4">
        <v>2</v>
      </c>
    </row>
    <row r="25" spans="1:3" x14ac:dyDescent="0.3">
      <c r="A25" s="4" t="s">
        <v>79</v>
      </c>
      <c r="B25" s="3" t="s">
        <v>114</v>
      </c>
      <c r="C25" s="4">
        <v>1</v>
      </c>
    </row>
    <row r="26" spans="1:3" x14ac:dyDescent="0.3">
      <c r="A26" s="4" t="s">
        <v>94</v>
      </c>
      <c r="B26" s="3" t="s">
        <v>114</v>
      </c>
      <c r="C26" s="4">
        <v>1</v>
      </c>
    </row>
    <row r="27" spans="1:3" x14ac:dyDescent="0.3">
      <c r="A27" t="s">
        <v>91</v>
      </c>
      <c r="B27" t="s">
        <v>114</v>
      </c>
      <c r="C27" s="4">
        <v>3</v>
      </c>
    </row>
    <row r="28" spans="1:3" x14ac:dyDescent="0.3">
      <c r="A28" s="4" t="s">
        <v>36</v>
      </c>
      <c r="B28" s="3" t="s">
        <v>115</v>
      </c>
      <c r="C28" s="4">
        <v>2</v>
      </c>
    </row>
    <row r="29" spans="1:3" x14ac:dyDescent="0.3">
      <c r="A29" s="4" t="s">
        <v>88</v>
      </c>
      <c r="B29" s="3" t="s">
        <v>115</v>
      </c>
      <c r="C29" s="4">
        <v>2</v>
      </c>
    </row>
    <row r="30" spans="1:3" x14ac:dyDescent="0.3">
      <c r="A30" s="4" t="s">
        <v>47</v>
      </c>
      <c r="B30" s="3" t="s">
        <v>115</v>
      </c>
      <c r="C30" s="4">
        <v>2</v>
      </c>
    </row>
    <row r="31" spans="1:3" x14ac:dyDescent="0.3">
      <c r="A31" s="4" t="s">
        <v>70</v>
      </c>
      <c r="B31" s="3" t="s">
        <v>115</v>
      </c>
      <c r="C31" s="4">
        <v>2</v>
      </c>
    </row>
    <row r="32" spans="1:3" x14ac:dyDescent="0.3">
      <c r="A32" s="4" t="s">
        <v>61</v>
      </c>
      <c r="B32" s="3" t="s">
        <v>115</v>
      </c>
      <c r="C32" s="4">
        <v>2</v>
      </c>
    </row>
    <row r="33" spans="1:3" x14ac:dyDescent="0.3">
      <c r="A33" s="4" t="s">
        <v>62</v>
      </c>
      <c r="B33" s="3" t="s">
        <v>115</v>
      </c>
      <c r="C33" s="4">
        <v>1</v>
      </c>
    </row>
    <row r="34" spans="1:3" x14ac:dyDescent="0.3">
      <c r="A34" s="4" t="s">
        <v>89</v>
      </c>
      <c r="B34" s="3" t="s">
        <v>115</v>
      </c>
      <c r="C34" s="4">
        <v>2</v>
      </c>
    </row>
    <row r="35" spans="1:3" x14ac:dyDescent="0.3">
      <c r="A35" s="4" t="s">
        <v>87</v>
      </c>
      <c r="B35" s="3" t="s">
        <v>115</v>
      </c>
      <c r="C35" s="4">
        <v>2</v>
      </c>
    </row>
    <row r="36" spans="1:3" x14ac:dyDescent="0.3">
      <c r="A36" s="4" t="s">
        <v>68</v>
      </c>
      <c r="B36" s="3" t="s">
        <v>115</v>
      </c>
      <c r="C36" s="4">
        <v>2</v>
      </c>
    </row>
    <row r="37" spans="1:3" x14ac:dyDescent="0.3">
      <c r="A37" s="4" t="s">
        <v>96</v>
      </c>
      <c r="B37" s="3" t="s">
        <v>116</v>
      </c>
      <c r="C37" s="4">
        <v>5</v>
      </c>
    </row>
    <row r="38" spans="1:3" x14ac:dyDescent="0.3">
      <c r="A38" s="4" t="s">
        <v>12</v>
      </c>
      <c r="B38" s="3" t="s">
        <v>116</v>
      </c>
      <c r="C38" s="4">
        <v>3</v>
      </c>
    </row>
    <row r="39" spans="1:3" x14ac:dyDescent="0.3">
      <c r="A39" s="4" t="s">
        <v>97</v>
      </c>
      <c r="B39" s="3" t="s">
        <v>116</v>
      </c>
      <c r="C39" s="4">
        <v>2</v>
      </c>
    </row>
    <row r="40" spans="1:3" x14ac:dyDescent="0.3">
      <c r="A40" s="4" t="s">
        <v>31</v>
      </c>
      <c r="B40" s="3" t="s">
        <v>116</v>
      </c>
      <c r="C40" s="4">
        <v>3</v>
      </c>
    </row>
    <row r="41" spans="1:3" x14ac:dyDescent="0.3">
      <c r="A41" s="4" t="s">
        <v>34</v>
      </c>
      <c r="B41" s="3" t="s">
        <v>116</v>
      </c>
      <c r="C41" s="4">
        <v>5</v>
      </c>
    </row>
    <row r="42" spans="1:3" x14ac:dyDescent="0.3">
      <c r="A42" s="4" t="s">
        <v>98</v>
      </c>
      <c r="B42" s="3" t="s">
        <v>116</v>
      </c>
      <c r="C42" s="4">
        <v>2</v>
      </c>
    </row>
    <row r="43" spans="1:3" x14ac:dyDescent="0.3">
      <c r="A43" s="4" t="s">
        <v>45</v>
      </c>
      <c r="B43" s="3" t="s">
        <v>116</v>
      </c>
      <c r="C43" s="4">
        <v>2</v>
      </c>
    </row>
    <row r="44" spans="1:3" x14ac:dyDescent="0.3">
      <c r="A44" s="4" t="s">
        <v>102</v>
      </c>
      <c r="B44" s="3" t="s">
        <v>116</v>
      </c>
      <c r="C44" s="4">
        <v>6</v>
      </c>
    </row>
    <row r="45" spans="1:3" x14ac:dyDescent="0.3">
      <c r="A45" s="4" t="s">
        <v>99</v>
      </c>
      <c r="B45" s="3" t="s">
        <v>116</v>
      </c>
      <c r="C45" s="4">
        <v>1</v>
      </c>
    </row>
    <row r="46" spans="1:3" x14ac:dyDescent="0.3">
      <c r="A46" s="4" t="s">
        <v>49</v>
      </c>
      <c r="B46" s="3" t="s">
        <v>116</v>
      </c>
      <c r="C46" s="4">
        <v>3</v>
      </c>
    </row>
    <row r="47" spans="1:3" x14ac:dyDescent="0.3">
      <c r="A47" s="4" t="s">
        <v>100</v>
      </c>
      <c r="B47" s="3" t="s">
        <v>116</v>
      </c>
      <c r="C47" s="4">
        <v>1</v>
      </c>
    </row>
    <row r="48" spans="1:3" x14ac:dyDescent="0.3">
      <c r="A48" s="4" t="s">
        <v>103</v>
      </c>
      <c r="B48" s="3" t="s">
        <v>116</v>
      </c>
      <c r="C48" s="4">
        <v>1</v>
      </c>
    </row>
    <row r="49" spans="1:3" x14ac:dyDescent="0.3">
      <c r="A49" s="4" t="s">
        <v>104</v>
      </c>
      <c r="B49" s="3" t="s">
        <v>116</v>
      </c>
      <c r="C49" s="4">
        <v>5</v>
      </c>
    </row>
    <row r="50" spans="1:3" x14ac:dyDescent="0.3">
      <c r="A50" s="4" t="s">
        <v>105</v>
      </c>
      <c r="B50" s="3" t="s">
        <v>116</v>
      </c>
      <c r="C50" s="4">
        <v>3</v>
      </c>
    </row>
    <row r="51" spans="1:3" x14ac:dyDescent="0.3">
      <c r="A51" s="4" t="s">
        <v>101</v>
      </c>
      <c r="B51" s="3" t="s">
        <v>116</v>
      </c>
      <c r="C51" s="4">
        <v>3</v>
      </c>
    </row>
    <row r="52" spans="1:3" x14ac:dyDescent="0.3">
      <c r="A52" s="4" t="s">
        <v>59</v>
      </c>
      <c r="B52" s="3" t="s">
        <v>116</v>
      </c>
      <c r="C52" s="4">
        <v>4</v>
      </c>
    </row>
    <row r="53" spans="1:3" x14ac:dyDescent="0.3">
      <c r="A53" s="4" t="s">
        <v>60</v>
      </c>
      <c r="B53" s="3" t="s">
        <v>116</v>
      </c>
      <c r="C53" s="4">
        <v>2</v>
      </c>
    </row>
  </sheetData>
  <sortState xmlns:xlrd2="http://schemas.microsoft.com/office/spreadsheetml/2017/richdata2" ref="A2:C53">
    <sortCondition ref="B11:B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337D-D96C-4D1C-9DB1-CF38FA3912DE}">
  <dimension ref="A1:G53"/>
  <sheetViews>
    <sheetView topLeftCell="A49" workbookViewId="0">
      <selection activeCell="G13" sqref="G13:G27"/>
    </sheetView>
  </sheetViews>
  <sheetFormatPr defaultRowHeight="14.4" x14ac:dyDescent="0.3"/>
  <cols>
    <col min="1" max="1" width="19.33203125" bestFit="1" customWidth="1"/>
    <col min="2" max="2" width="11.44140625" bestFit="1" customWidth="1"/>
    <col min="4" max="4" width="9" bestFit="1" customWidth="1"/>
    <col min="5" max="5" width="11.6640625" bestFit="1" customWidth="1"/>
    <col min="7" max="7" width="20" bestFit="1" customWidth="1"/>
  </cols>
  <sheetData>
    <row r="1" spans="1:7" x14ac:dyDescent="0.3">
      <c r="A1" s="2" t="s">
        <v>82</v>
      </c>
      <c r="B1" s="2" t="s">
        <v>112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80</v>
      </c>
    </row>
    <row r="2" spans="1:7" x14ac:dyDescent="0.3">
      <c r="A2" s="3" t="s">
        <v>14</v>
      </c>
      <c r="B2" s="3" t="s">
        <v>113</v>
      </c>
      <c r="C2" s="3">
        <v>1</v>
      </c>
      <c r="D2" s="3">
        <v>2</v>
      </c>
      <c r="E2" s="3">
        <v>2</v>
      </c>
      <c r="F2" s="3">
        <v>2</v>
      </c>
      <c r="G2" s="3">
        <f>AVERAGE(C2:F2)</f>
        <v>1.75</v>
      </c>
    </row>
    <row r="3" spans="1:7" x14ac:dyDescent="0.3">
      <c r="A3" s="3" t="s">
        <v>95</v>
      </c>
      <c r="B3" s="3" t="s">
        <v>113</v>
      </c>
      <c r="C3" s="3">
        <v>2</v>
      </c>
      <c r="D3" s="3">
        <v>3</v>
      </c>
      <c r="E3" s="3">
        <v>3</v>
      </c>
      <c r="F3" s="3">
        <v>4</v>
      </c>
      <c r="G3" s="3">
        <f>AVERAGE(C3:F3)</f>
        <v>3</v>
      </c>
    </row>
    <row r="4" spans="1:7" x14ac:dyDescent="0.3">
      <c r="A4" s="3" t="s">
        <v>108</v>
      </c>
      <c r="B4" s="3" t="s">
        <v>113</v>
      </c>
      <c r="C4" s="3">
        <v>1</v>
      </c>
      <c r="D4" s="3">
        <v>2</v>
      </c>
      <c r="E4" s="3">
        <v>1</v>
      </c>
      <c r="F4" s="3">
        <v>1</v>
      </c>
      <c r="G4" s="3">
        <f>AVERAGE(C4:F4)</f>
        <v>1.25</v>
      </c>
    </row>
    <row r="5" spans="1:7" x14ac:dyDescent="0.3">
      <c r="A5" s="3" t="s">
        <v>38</v>
      </c>
      <c r="B5" s="3" t="s">
        <v>113</v>
      </c>
      <c r="C5" s="3">
        <v>1</v>
      </c>
      <c r="D5" s="3">
        <v>2</v>
      </c>
      <c r="E5" s="3">
        <v>1</v>
      </c>
      <c r="F5" s="3">
        <v>2</v>
      </c>
      <c r="G5" s="3">
        <f>AVERAGE(C5:F5)</f>
        <v>1.5</v>
      </c>
    </row>
    <row r="6" spans="1:7" x14ac:dyDescent="0.3">
      <c r="A6" s="3" t="s">
        <v>39</v>
      </c>
      <c r="B6" s="3" t="s">
        <v>113</v>
      </c>
      <c r="C6" s="3">
        <v>1</v>
      </c>
      <c r="D6" s="3">
        <v>2</v>
      </c>
      <c r="E6" s="3">
        <v>2</v>
      </c>
      <c r="F6" s="3">
        <v>2</v>
      </c>
      <c r="G6" s="3">
        <f>AVERAGE(C6:F6)</f>
        <v>1.75</v>
      </c>
    </row>
    <row r="7" spans="1:7" x14ac:dyDescent="0.3">
      <c r="A7" s="3" t="s">
        <v>106</v>
      </c>
      <c r="B7" s="3" t="s">
        <v>113</v>
      </c>
      <c r="C7" s="3">
        <v>1</v>
      </c>
      <c r="D7" s="3">
        <v>2</v>
      </c>
      <c r="E7" s="3">
        <v>2</v>
      </c>
      <c r="F7" s="3">
        <v>1</v>
      </c>
      <c r="G7" s="3">
        <f>AVERAGE(C7:F7)</f>
        <v>1.5</v>
      </c>
    </row>
    <row r="8" spans="1:7" x14ac:dyDescent="0.3">
      <c r="A8" s="3" t="s">
        <v>93</v>
      </c>
      <c r="B8" s="3" t="s">
        <v>113</v>
      </c>
      <c r="C8" s="3">
        <v>1</v>
      </c>
      <c r="D8" s="3">
        <v>2</v>
      </c>
      <c r="E8" s="3">
        <v>2</v>
      </c>
      <c r="F8" s="3">
        <v>1</v>
      </c>
      <c r="G8" s="3">
        <f>AVERAGE(C8:F8)</f>
        <v>1.5</v>
      </c>
    </row>
    <row r="9" spans="1:7" x14ac:dyDescent="0.3">
      <c r="A9" s="3" t="s">
        <v>43</v>
      </c>
      <c r="B9" s="3" t="s">
        <v>113</v>
      </c>
      <c r="C9" s="3">
        <v>1</v>
      </c>
      <c r="D9" s="3">
        <v>1</v>
      </c>
      <c r="E9" s="3">
        <v>2</v>
      </c>
      <c r="F9" s="3">
        <v>1</v>
      </c>
      <c r="G9" s="3">
        <f>AVERAGE(C9:F9)</f>
        <v>1.25</v>
      </c>
    </row>
    <row r="10" spans="1:7" x14ac:dyDescent="0.3">
      <c r="A10" s="3" t="s">
        <v>107</v>
      </c>
      <c r="B10" s="3" t="s">
        <v>113</v>
      </c>
      <c r="C10" s="3">
        <v>6</v>
      </c>
      <c r="D10" s="3">
        <v>6</v>
      </c>
      <c r="E10" s="3">
        <v>5</v>
      </c>
      <c r="F10" s="3">
        <v>6</v>
      </c>
      <c r="G10" s="3">
        <f>AVERAGE(C10:F10)</f>
        <v>5.75</v>
      </c>
    </row>
    <row r="11" spans="1:7" x14ac:dyDescent="0.3">
      <c r="A11" s="3" t="s">
        <v>110</v>
      </c>
      <c r="B11" s="3" t="s">
        <v>113</v>
      </c>
      <c r="C11" s="3">
        <v>1</v>
      </c>
      <c r="D11" s="3">
        <v>1</v>
      </c>
      <c r="E11" s="3">
        <v>1</v>
      </c>
      <c r="F11" s="3">
        <v>2</v>
      </c>
      <c r="G11" s="3">
        <f>AVERAGE(C11:F11)</f>
        <v>1.25</v>
      </c>
    </row>
    <row r="12" spans="1:7" x14ac:dyDescent="0.3">
      <c r="A12" s="3" t="s">
        <v>69</v>
      </c>
      <c r="B12" s="3" t="s">
        <v>113</v>
      </c>
      <c r="C12" s="3">
        <v>4</v>
      </c>
      <c r="D12" s="3">
        <v>4</v>
      </c>
      <c r="E12" s="3">
        <v>4</v>
      </c>
      <c r="F12" s="3">
        <v>3</v>
      </c>
      <c r="G12" s="3">
        <f>AVERAGE(C12:F12)</f>
        <v>3.75</v>
      </c>
    </row>
    <row r="13" spans="1:7" x14ac:dyDescent="0.3">
      <c r="A13" s="3" t="s">
        <v>92</v>
      </c>
      <c r="B13" s="3" t="s">
        <v>114</v>
      </c>
      <c r="C13" s="3">
        <v>2</v>
      </c>
      <c r="D13" s="3">
        <v>4</v>
      </c>
      <c r="E13" s="3">
        <v>3</v>
      </c>
      <c r="F13" s="3">
        <v>2</v>
      </c>
      <c r="G13" s="3">
        <f>AVERAGE(C13:F13)</f>
        <v>2.75</v>
      </c>
    </row>
    <row r="14" spans="1:7" x14ac:dyDescent="0.3">
      <c r="A14" s="3" t="s">
        <v>75</v>
      </c>
      <c r="B14" s="3" t="s">
        <v>114</v>
      </c>
      <c r="C14" s="3">
        <v>1</v>
      </c>
      <c r="D14" s="3">
        <v>2</v>
      </c>
      <c r="E14" s="3">
        <v>2</v>
      </c>
      <c r="F14" s="3">
        <v>1</v>
      </c>
      <c r="G14" s="3">
        <f>AVERAGE(C14:F14)</f>
        <v>1.5</v>
      </c>
    </row>
    <row r="15" spans="1:7" x14ac:dyDescent="0.3">
      <c r="A15" s="3" t="s">
        <v>22</v>
      </c>
      <c r="B15" s="3" t="s">
        <v>114</v>
      </c>
      <c r="C15" s="3">
        <v>4</v>
      </c>
      <c r="D15" s="3">
        <v>3</v>
      </c>
      <c r="E15" s="3">
        <v>3</v>
      </c>
      <c r="F15" s="3">
        <v>2</v>
      </c>
      <c r="G15" s="3">
        <f>AVERAGE(C15:F15)</f>
        <v>3</v>
      </c>
    </row>
    <row r="16" spans="1:7" x14ac:dyDescent="0.3">
      <c r="A16" s="3" t="s">
        <v>72</v>
      </c>
      <c r="B16" s="3" t="s">
        <v>114</v>
      </c>
      <c r="C16" s="3">
        <v>4</v>
      </c>
      <c r="D16" s="3">
        <v>3</v>
      </c>
      <c r="E16" s="3">
        <v>2</v>
      </c>
      <c r="F16" s="3">
        <v>5</v>
      </c>
      <c r="G16" s="3">
        <f>AVERAGE(C16:F16)</f>
        <v>3.5</v>
      </c>
    </row>
    <row r="17" spans="1:7" x14ac:dyDescent="0.3">
      <c r="A17" s="3" t="s">
        <v>24</v>
      </c>
      <c r="B17" s="3" t="s">
        <v>114</v>
      </c>
      <c r="C17" s="3">
        <v>1</v>
      </c>
      <c r="D17" s="3">
        <v>2</v>
      </c>
      <c r="E17" s="3">
        <v>3</v>
      </c>
      <c r="F17" s="3">
        <v>2</v>
      </c>
      <c r="G17" s="3">
        <f>AVERAGE(C17:F17)</f>
        <v>2</v>
      </c>
    </row>
    <row r="18" spans="1:7" x14ac:dyDescent="0.3">
      <c r="A18" s="3" t="s">
        <v>28</v>
      </c>
      <c r="B18" s="3" t="s">
        <v>114</v>
      </c>
      <c r="C18" s="3">
        <v>6</v>
      </c>
      <c r="D18" s="3">
        <v>5</v>
      </c>
      <c r="E18" s="3">
        <v>5</v>
      </c>
      <c r="F18" s="3">
        <v>3</v>
      </c>
      <c r="G18" s="3">
        <f>AVERAGE(C18:F18)</f>
        <v>4.75</v>
      </c>
    </row>
    <row r="19" spans="1:7" x14ac:dyDescent="0.3">
      <c r="A19" s="3" t="s">
        <v>74</v>
      </c>
      <c r="B19" s="3" t="s">
        <v>114</v>
      </c>
      <c r="C19" s="3">
        <v>2</v>
      </c>
      <c r="D19" s="3">
        <v>2</v>
      </c>
      <c r="E19" s="3">
        <v>2</v>
      </c>
      <c r="F19" s="3">
        <v>1</v>
      </c>
      <c r="G19" s="3">
        <f>AVERAGE(C19:F19)</f>
        <v>1.75</v>
      </c>
    </row>
    <row r="20" spans="1:7" x14ac:dyDescent="0.3">
      <c r="A20" s="3" t="s">
        <v>42</v>
      </c>
      <c r="B20" s="3" t="s">
        <v>114</v>
      </c>
      <c r="C20" s="3">
        <v>1</v>
      </c>
      <c r="D20" s="3">
        <v>2</v>
      </c>
      <c r="E20" s="3">
        <v>2</v>
      </c>
      <c r="F20" s="3">
        <v>1</v>
      </c>
      <c r="G20" s="3">
        <f>AVERAGE(C20:F20)</f>
        <v>1.5</v>
      </c>
    </row>
    <row r="21" spans="1:7" x14ac:dyDescent="0.3">
      <c r="A21" s="3" t="s">
        <v>109</v>
      </c>
      <c r="B21" s="3" t="s">
        <v>114</v>
      </c>
      <c r="C21" s="3">
        <v>2</v>
      </c>
      <c r="D21" s="3">
        <v>3</v>
      </c>
      <c r="E21" s="3">
        <v>2</v>
      </c>
      <c r="F21" s="3">
        <v>2</v>
      </c>
      <c r="G21" s="3">
        <f>AVERAGE(C21:F21)</f>
        <v>2.25</v>
      </c>
    </row>
    <row r="22" spans="1:7" x14ac:dyDescent="0.3">
      <c r="A22" s="3" t="s">
        <v>91</v>
      </c>
      <c r="B22" s="3" t="s">
        <v>114</v>
      </c>
      <c r="C22" s="3">
        <v>3</v>
      </c>
      <c r="D22" s="3">
        <v>4</v>
      </c>
      <c r="E22" s="3">
        <v>3</v>
      </c>
      <c r="F22" s="3">
        <v>2</v>
      </c>
      <c r="G22" s="3">
        <f>AVERAGE(C22:F22)</f>
        <v>3</v>
      </c>
    </row>
    <row r="23" spans="1:7" x14ac:dyDescent="0.3">
      <c r="A23" s="3" t="s">
        <v>111</v>
      </c>
      <c r="B23" s="3" t="s">
        <v>114</v>
      </c>
      <c r="C23" s="3">
        <v>4</v>
      </c>
      <c r="D23" s="3">
        <v>4</v>
      </c>
      <c r="E23" s="3">
        <v>4</v>
      </c>
      <c r="F23" s="3">
        <v>3</v>
      </c>
      <c r="G23" s="3">
        <f>AVERAGE(C23:F23)</f>
        <v>3.75</v>
      </c>
    </row>
    <row r="24" spans="1:7" x14ac:dyDescent="0.3">
      <c r="A24" s="3" t="s">
        <v>90</v>
      </c>
      <c r="B24" s="3" t="s">
        <v>114</v>
      </c>
      <c r="C24" s="3">
        <v>1</v>
      </c>
      <c r="D24" s="3">
        <v>2</v>
      </c>
      <c r="E24" s="3">
        <v>1</v>
      </c>
      <c r="F24" s="3">
        <v>2</v>
      </c>
      <c r="G24" s="3">
        <f>AVERAGE(C24:F24)</f>
        <v>1.5</v>
      </c>
    </row>
    <row r="25" spans="1:7" x14ac:dyDescent="0.3">
      <c r="A25" s="3" t="s">
        <v>79</v>
      </c>
      <c r="B25" s="3" t="s">
        <v>114</v>
      </c>
      <c r="C25" s="3">
        <v>1</v>
      </c>
      <c r="D25" s="3">
        <v>1</v>
      </c>
      <c r="E25" s="3">
        <v>2</v>
      </c>
      <c r="F25" s="3">
        <v>1</v>
      </c>
      <c r="G25" s="3">
        <f>AVERAGE(C25:F25)</f>
        <v>1.25</v>
      </c>
    </row>
    <row r="26" spans="1:7" x14ac:dyDescent="0.3">
      <c r="A26" s="3" t="s">
        <v>57</v>
      </c>
      <c r="B26" s="3" t="s">
        <v>114</v>
      </c>
      <c r="C26" s="3">
        <v>4</v>
      </c>
      <c r="D26" s="3">
        <v>4</v>
      </c>
      <c r="E26" s="3">
        <v>3</v>
      </c>
      <c r="F26" s="3">
        <v>2</v>
      </c>
      <c r="G26" s="3">
        <f>AVERAGE(C26:F26)</f>
        <v>3.25</v>
      </c>
    </row>
    <row r="27" spans="1:7" x14ac:dyDescent="0.3">
      <c r="A27" s="4" t="s">
        <v>91</v>
      </c>
      <c r="B27" s="4" t="s">
        <v>114</v>
      </c>
      <c r="C27" s="4">
        <v>4</v>
      </c>
      <c r="D27" s="4">
        <v>3</v>
      </c>
      <c r="E27" s="4">
        <v>2</v>
      </c>
      <c r="F27" s="4">
        <v>3</v>
      </c>
      <c r="G27" s="3">
        <f>AVERAGE(C27:F27)</f>
        <v>3</v>
      </c>
    </row>
    <row r="28" spans="1:7" x14ac:dyDescent="0.3">
      <c r="A28" s="3" t="s">
        <v>36</v>
      </c>
      <c r="B28" s="3" t="s">
        <v>115</v>
      </c>
      <c r="C28" s="3">
        <v>2</v>
      </c>
      <c r="D28" s="3">
        <v>3</v>
      </c>
      <c r="E28" s="3">
        <v>4</v>
      </c>
      <c r="F28" s="3">
        <v>2</v>
      </c>
      <c r="G28" s="3">
        <f>AVERAGE(C28:F28)</f>
        <v>2.75</v>
      </c>
    </row>
    <row r="29" spans="1:7" x14ac:dyDescent="0.3">
      <c r="A29" s="3" t="s">
        <v>88</v>
      </c>
      <c r="B29" s="3" t="s">
        <v>115</v>
      </c>
      <c r="C29" s="3">
        <v>4</v>
      </c>
      <c r="D29" s="3">
        <v>3</v>
      </c>
      <c r="E29" s="3">
        <v>3</v>
      </c>
      <c r="F29" s="3">
        <v>3</v>
      </c>
      <c r="G29" s="3">
        <f>AVERAGE(C29:F29)</f>
        <v>3.25</v>
      </c>
    </row>
    <row r="30" spans="1:7" x14ac:dyDescent="0.3">
      <c r="A30" s="3" t="s">
        <v>47</v>
      </c>
      <c r="B30" s="3" t="s">
        <v>115</v>
      </c>
      <c r="C30" s="3">
        <v>1</v>
      </c>
      <c r="D30" s="3">
        <v>2</v>
      </c>
      <c r="E30" s="3">
        <v>2</v>
      </c>
      <c r="F30" s="3">
        <v>2</v>
      </c>
      <c r="G30" s="3">
        <f>AVERAGE(C30:F30)</f>
        <v>1.75</v>
      </c>
    </row>
    <row r="31" spans="1:7" x14ac:dyDescent="0.3">
      <c r="A31" s="3" t="s">
        <v>70</v>
      </c>
      <c r="B31" s="3" t="s">
        <v>115</v>
      </c>
      <c r="C31" s="3">
        <v>4</v>
      </c>
      <c r="D31" s="3">
        <v>2</v>
      </c>
      <c r="E31" s="3">
        <v>1</v>
      </c>
      <c r="F31" s="3">
        <v>1</v>
      </c>
      <c r="G31" s="3">
        <f>AVERAGE(C31:F31)</f>
        <v>2</v>
      </c>
    </row>
    <row r="32" spans="1:7" x14ac:dyDescent="0.3">
      <c r="A32" s="3" t="s">
        <v>61</v>
      </c>
      <c r="B32" s="3" t="s">
        <v>115</v>
      </c>
      <c r="C32" s="3">
        <v>4</v>
      </c>
      <c r="D32" s="3">
        <v>3</v>
      </c>
      <c r="E32" s="3">
        <v>4</v>
      </c>
      <c r="F32" s="3">
        <v>2</v>
      </c>
      <c r="G32" s="3">
        <f>AVERAGE(C32:F32)</f>
        <v>3.25</v>
      </c>
    </row>
    <row r="33" spans="1:7" x14ac:dyDescent="0.3">
      <c r="A33" s="3" t="s">
        <v>62</v>
      </c>
      <c r="B33" s="3" t="s">
        <v>115</v>
      </c>
      <c r="C33" s="3">
        <v>1</v>
      </c>
      <c r="D33" s="3">
        <v>2</v>
      </c>
      <c r="E33" s="3">
        <v>3</v>
      </c>
      <c r="F33" s="3">
        <v>2</v>
      </c>
      <c r="G33" s="3">
        <f>AVERAGE(C33:F33)</f>
        <v>2</v>
      </c>
    </row>
    <row r="34" spans="1:7" x14ac:dyDescent="0.3">
      <c r="A34" s="3" t="s">
        <v>89</v>
      </c>
      <c r="B34" s="3" t="s">
        <v>115</v>
      </c>
      <c r="C34" s="3">
        <v>1</v>
      </c>
      <c r="D34" s="3">
        <v>2</v>
      </c>
      <c r="E34" s="3">
        <v>2</v>
      </c>
      <c r="F34" s="3">
        <v>2</v>
      </c>
      <c r="G34" s="3">
        <f>AVERAGE(C34:F34)</f>
        <v>1.75</v>
      </c>
    </row>
    <row r="35" spans="1:7" x14ac:dyDescent="0.3">
      <c r="A35" s="3" t="s">
        <v>87</v>
      </c>
      <c r="B35" s="3" t="s">
        <v>115</v>
      </c>
      <c r="C35" s="3">
        <v>2</v>
      </c>
      <c r="D35" s="3">
        <v>3</v>
      </c>
      <c r="E35" s="3">
        <v>3</v>
      </c>
      <c r="F35" s="3">
        <v>2</v>
      </c>
      <c r="G35" s="3">
        <f>AVERAGE(C35:F35)</f>
        <v>2.5</v>
      </c>
    </row>
    <row r="36" spans="1:7" x14ac:dyDescent="0.3">
      <c r="A36" s="3" t="s">
        <v>68</v>
      </c>
      <c r="B36" s="3" t="s">
        <v>115</v>
      </c>
      <c r="C36" s="3">
        <v>1</v>
      </c>
      <c r="D36" s="3">
        <v>2</v>
      </c>
      <c r="E36" s="3">
        <v>3</v>
      </c>
      <c r="F36" s="3">
        <v>2</v>
      </c>
      <c r="G36" s="3">
        <f>AVERAGE(C36:F36)</f>
        <v>2</v>
      </c>
    </row>
    <row r="37" spans="1:7" x14ac:dyDescent="0.3">
      <c r="A37" s="3" t="s">
        <v>96</v>
      </c>
      <c r="B37" s="3" t="s">
        <v>116</v>
      </c>
      <c r="C37" s="3">
        <v>6</v>
      </c>
      <c r="D37" s="3">
        <v>5</v>
      </c>
      <c r="E37" s="3">
        <v>5</v>
      </c>
      <c r="F37" s="3">
        <v>4</v>
      </c>
      <c r="G37" s="3">
        <f>AVERAGE(C37:F37)</f>
        <v>5</v>
      </c>
    </row>
    <row r="38" spans="1:7" x14ac:dyDescent="0.3">
      <c r="A38" s="3" t="s">
        <v>12</v>
      </c>
      <c r="B38" s="3" t="s">
        <v>116</v>
      </c>
      <c r="C38" s="3">
        <v>1</v>
      </c>
      <c r="D38" s="3">
        <v>5</v>
      </c>
      <c r="E38" s="3">
        <v>4</v>
      </c>
      <c r="F38" s="3">
        <v>4</v>
      </c>
      <c r="G38" s="3">
        <f>AVERAGE(C38:F38)</f>
        <v>3.5</v>
      </c>
    </row>
    <row r="39" spans="1:7" x14ac:dyDescent="0.3">
      <c r="A39" s="3" t="s">
        <v>97</v>
      </c>
      <c r="B39" s="3" t="s">
        <v>116</v>
      </c>
      <c r="C39" s="3">
        <v>3</v>
      </c>
      <c r="D39" s="3">
        <v>2</v>
      </c>
      <c r="E39" s="3">
        <v>4</v>
      </c>
      <c r="F39" s="3">
        <v>4</v>
      </c>
      <c r="G39" s="3">
        <f>AVERAGE(C39:F39)</f>
        <v>3.25</v>
      </c>
    </row>
    <row r="40" spans="1:7" x14ac:dyDescent="0.3">
      <c r="A40" s="3" t="s">
        <v>31</v>
      </c>
      <c r="B40" s="3" t="s">
        <v>116</v>
      </c>
      <c r="C40" s="3">
        <v>4</v>
      </c>
      <c r="D40" s="3">
        <v>6</v>
      </c>
      <c r="E40" s="3">
        <v>4</v>
      </c>
      <c r="F40" s="3">
        <v>5</v>
      </c>
      <c r="G40" s="3">
        <f>AVERAGE(C40:F40)</f>
        <v>4.75</v>
      </c>
    </row>
    <row r="41" spans="1:7" x14ac:dyDescent="0.3">
      <c r="A41" s="3" t="s">
        <v>34</v>
      </c>
      <c r="B41" s="3" t="s">
        <v>116</v>
      </c>
      <c r="C41" s="3">
        <v>6</v>
      </c>
      <c r="D41" s="3">
        <v>5</v>
      </c>
      <c r="E41" s="3">
        <v>5</v>
      </c>
      <c r="F41" s="3">
        <v>5</v>
      </c>
      <c r="G41" s="3">
        <f>AVERAGE(C41:F41)</f>
        <v>5.25</v>
      </c>
    </row>
    <row r="42" spans="1:7" x14ac:dyDescent="0.3">
      <c r="A42" s="3" t="s">
        <v>98</v>
      </c>
      <c r="B42" s="3" t="s">
        <v>116</v>
      </c>
      <c r="C42" s="3">
        <v>4</v>
      </c>
      <c r="D42" s="3">
        <v>1</v>
      </c>
      <c r="E42" s="3">
        <v>4</v>
      </c>
      <c r="F42" s="3">
        <v>4</v>
      </c>
      <c r="G42" s="3">
        <f>AVERAGE(C42:F42)</f>
        <v>3.25</v>
      </c>
    </row>
    <row r="43" spans="1:7" x14ac:dyDescent="0.3">
      <c r="A43" s="3" t="s">
        <v>45</v>
      </c>
      <c r="B43" s="3" t="s">
        <v>116</v>
      </c>
      <c r="C43" s="3">
        <v>2</v>
      </c>
      <c r="D43" s="3">
        <v>4</v>
      </c>
      <c r="E43" s="3">
        <v>4</v>
      </c>
      <c r="F43" s="3">
        <v>4</v>
      </c>
      <c r="G43" s="3">
        <f>AVERAGE(C43:F43)</f>
        <v>3.5</v>
      </c>
    </row>
    <row r="44" spans="1:7" x14ac:dyDescent="0.3">
      <c r="A44" s="3" t="s">
        <v>102</v>
      </c>
      <c r="B44" s="3" t="s">
        <v>116</v>
      </c>
      <c r="C44" s="3">
        <v>6</v>
      </c>
      <c r="D44" s="3">
        <v>5</v>
      </c>
      <c r="E44" s="3">
        <v>5</v>
      </c>
      <c r="F44" s="3">
        <v>6</v>
      </c>
      <c r="G44" s="3">
        <f>AVERAGE(C44:F44)</f>
        <v>5.5</v>
      </c>
    </row>
    <row r="45" spans="1:7" x14ac:dyDescent="0.3">
      <c r="A45" s="3" t="s">
        <v>99</v>
      </c>
      <c r="B45" s="3" t="s">
        <v>116</v>
      </c>
      <c r="C45" s="3">
        <v>1</v>
      </c>
      <c r="D45" s="3">
        <v>1</v>
      </c>
      <c r="E45" s="3">
        <v>4</v>
      </c>
      <c r="F45" s="3">
        <v>4</v>
      </c>
      <c r="G45" s="3">
        <f>AVERAGE(C45:F45)</f>
        <v>2.5</v>
      </c>
    </row>
    <row r="46" spans="1:7" x14ac:dyDescent="0.3">
      <c r="A46" s="3" t="s">
        <v>49</v>
      </c>
      <c r="B46" s="3" t="s">
        <v>116</v>
      </c>
      <c r="C46" s="3">
        <v>4</v>
      </c>
      <c r="D46" s="3">
        <v>4</v>
      </c>
      <c r="E46" s="3">
        <v>4</v>
      </c>
      <c r="F46" s="3">
        <v>4</v>
      </c>
      <c r="G46" s="3">
        <f>AVERAGE(C46:F46)</f>
        <v>4</v>
      </c>
    </row>
    <row r="47" spans="1:7" x14ac:dyDescent="0.3">
      <c r="A47" s="3" t="s">
        <v>100</v>
      </c>
      <c r="B47" s="3" t="s">
        <v>116</v>
      </c>
      <c r="C47" s="3">
        <v>2</v>
      </c>
      <c r="D47" s="3">
        <v>4</v>
      </c>
      <c r="E47" s="3">
        <v>4</v>
      </c>
      <c r="F47" s="3">
        <v>4</v>
      </c>
      <c r="G47" s="3">
        <f>AVERAGE(C47:F47)</f>
        <v>3.5</v>
      </c>
    </row>
    <row r="48" spans="1:7" x14ac:dyDescent="0.3">
      <c r="A48" s="3" t="s">
        <v>103</v>
      </c>
      <c r="B48" s="3" t="s">
        <v>116</v>
      </c>
      <c r="C48" s="3">
        <v>2</v>
      </c>
      <c r="D48" s="3">
        <v>2</v>
      </c>
      <c r="E48" s="3">
        <v>4</v>
      </c>
      <c r="F48" s="3">
        <v>4</v>
      </c>
      <c r="G48" s="3">
        <f>AVERAGE(C48:F48)</f>
        <v>3</v>
      </c>
    </row>
    <row r="49" spans="1:7" x14ac:dyDescent="0.3">
      <c r="A49" s="3" t="s">
        <v>104</v>
      </c>
      <c r="B49" s="3" t="s">
        <v>116</v>
      </c>
      <c r="C49" s="3">
        <v>5</v>
      </c>
      <c r="D49" s="3">
        <v>5</v>
      </c>
      <c r="E49" s="3">
        <v>4</v>
      </c>
      <c r="F49" s="3">
        <v>4</v>
      </c>
      <c r="G49" s="3">
        <f>AVERAGE(C49:F49)</f>
        <v>4.5</v>
      </c>
    </row>
    <row r="50" spans="1:7" x14ac:dyDescent="0.3">
      <c r="A50" s="3" t="s">
        <v>105</v>
      </c>
      <c r="B50" s="3" t="s">
        <v>116</v>
      </c>
      <c r="C50" s="3">
        <v>4</v>
      </c>
      <c r="D50" s="3">
        <v>6</v>
      </c>
      <c r="E50" s="3">
        <v>5</v>
      </c>
      <c r="F50" s="3">
        <v>4</v>
      </c>
      <c r="G50" s="3">
        <f>AVERAGE(C50:F50)</f>
        <v>4.75</v>
      </c>
    </row>
    <row r="51" spans="1:7" x14ac:dyDescent="0.3">
      <c r="A51" s="3" t="s">
        <v>101</v>
      </c>
      <c r="B51" s="3" t="s">
        <v>116</v>
      </c>
      <c r="C51" s="3">
        <v>3</v>
      </c>
      <c r="D51" s="3">
        <v>4</v>
      </c>
      <c r="E51" s="3">
        <v>4</v>
      </c>
      <c r="F51" s="3">
        <v>4</v>
      </c>
      <c r="G51" s="3">
        <f>AVERAGE(C51:F51)</f>
        <v>3.75</v>
      </c>
    </row>
    <row r="52" spans="1:7" x14ac:dyDescent="0.3">
      <c r="A52" s="3" t="s">
        <v>59</v>
      </c>
      <c r="B52" s="3" t="s">
        <v>116</v>
      </c>
      <c r="C52" s="3">
        <v>2</v>
      </c>
      <c r="D52" s="3">
        <v>3</v>
      </c>
      <c r="E52" s="3">
        <v>3</v>
      </c>
      <c r="F52" s="3">
        <v>4</v>
      </c>
      <c r="G52" s="3">
        <f>AVERAGE(C52:F52)</f>
        <v>3</v>
      </c>
    </row>
    <row r="53" spans="1:7" x14ac:dyDescent="0.3">
      <c r="A53" s="3" t="s">
        <v>60</v>
      </c>
      <c r="B53" s="3" t="s">
        <v>116</v>
      </c>
      <c r="C53" s="3">
        <v>4</v>
      </c>
      <c r="D53" s="3">
        <v>4</v>
      </c>
      <c r="E53" s="3">
        <v>4</v>
      </c>
      <c r="F53" s="3">
        <v>4</v>
      </c>
      <c r="G53" s="3">
        <f>AVERAGE(C53:F53)</f>
        <v>4</v>
      </c>
    </row>
  </sheetData>
  <sortState xmlns:xlrd2="http://schemas.microsoft.com/office/spreadsheetml/2017/richdata2" ref="A2:G53">
    <sortCondition ref="B40:B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licensing_readiness</vt:lpstr>
      <vt:lpstr>construction_readiness</vt:lpstr>
      <vt:lpstr>licensing_readiness_NEA</vt:lpstr>
      <vt:lpstr>construction_readiness_NEA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2026-04-16T18:31:45Z</dcterms:created>
  <dcterms:modified xsi:type="dcterms:W3CDTF">2026-04-16T20:51:36Z</dcterms:modified>
</cp:coreProperties>
</file>